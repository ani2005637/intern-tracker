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inivas\Desktop\"/>
    </mc:Choice>
  </mc:AlternateContent>
  <xr:revisionPtr revIDLastSave="0" documentId="8_{EB68AB69-DDB6-4F70-BFBB-F9DE32BCE15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May 2026" sheetId="5" r:id="rId5"/>
    <sheet name="Jun" sheetId="6" r:id="rId6"/>
    <sheet name="Jul" sheetId="7" r:id="rId7"/>
    <sheet name="Aug" sheetId="8" r:id="rId8"/>
    <sheet name="Sep" sheetId="9" r:id="rId9"/>
    <sheet name="Oct" sheetId="10" r:id="rId10"/>
    <sheet name="Nov" sheetId="11" r:id="rId11"/>
    <sheet name="Dec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9" i="12" l="1"/>
  <c r="AN49" i="12"/>
  <c r="AM49" i="12"/>
  <c r="AL49" i="12"/>
  <c r="AK49" i="12"/>
  <c r="AP49" i="12" s="1"/>
  <c r="AO48" i="12"/>
  <c r="AN48" i="12"/>
  <c r="AM48" i="12"/>
  <c r="AL48" i="12"/>
  <c r="AK48" i="12"/>
  <c r="AP48" i="12" s="1"/>
  <c r="AO47" i="12"/>
  <c r="AN47" i="12"/>
  <c r="AM47" i="12"/>
  <c r="AL47" i="12"/>
  <c r="AK47" i="12"/>
  <c r="AP47" i="12" s="1"/>
  <c r="AO46" i="12"/>
  <c r="AN46" i="12"/>
  <c r="AM46" i="12"/>
  <c r="AL46" i="12"/>
  <c r="AK46" i="12"/>
  <c r="AP46" i="12" s="1"/>
  <c r="AO45" i="12"/>
  <c r="AN45" i="12"/>
  <c r="AM45" i="12"/>
  <c r="AL45" i="12"/>
  <c r="AK45" i="12"/>
  <c r="AP45" i="12" s="1"/>
  <c r="AO44" i="12"/>
  <c r="AN44" i="12"/>
  <c r="AM44" i="12"/>
  <c r="AL44" i="12"/>
  <c r="AK44" i="12"/>
  <c r="AP44" i="12" s="1"/>
  <c r="AO43" i="12"/>
  <c r="AN43" i="12"/>
  <c r="AM43" i="12"/>
  <c r="AL43" i="12"/>
  <c r="AK43" i="12"/>
  <c r="AP43" i="12" s="1"/>
  <c r="AO42" i="12"/>
  <c r="AN42" i="12"/>
  <c r="AM42" i="12"/>
  <c r="AL42" i="12"/>
  <c r="AK42" i="12"/>
  <c r="AP42" i="12" s="1"/>
  <c r="AO41" i="12"/>
  <c r="AN41" i="12"/>
  <c r="AM41" i="12"/>
  <c r="AL41" i="12"/>
  <c r="AK41" i="12"/>
  <c r="AP41" i="12" s="1"/>
  <c r="AO40" i="12"/>
  <c r="AN40" i="12"/>
  <c r="AM40" i="12"/>
  <c r="AL40" i="12"/>
  <c r="AK40" i="12"/>
  <c r="AO39" i="12"/>
  <c r="AN39" i="12"/>
  <c r="AM39" i="12"/>
  <c r="AL39" i="12"/>
  <c r="AK39" i="12"/>
  <c r="AP39" i="12" s="1"/>
  <c r="AO38" i="12"/>
  <c r="AN38" i="12"/>
  <c r="AM38" i="12"/>
  <c r="AL38" i="12"/>
  <c r="AK38" i="12"/>
  <c r="AP38" i="12" s="1"/>
  <c r="AO37" i="12"/>
  <c r="AN37" i="12"/>
  <c r="AM37" i="12"/>
  <c r="AL37" i="12"/>
  <c r="AK37" i="12"/>
  <c r="AP37" i="12" s="1"/>
  <c r="AO36" i="12"/>
  <c r="AN36" i="12"/>
  <c r="AM36" i="12"/>
  <c r="AL36" i="12"/>
  <c r="AK36" i="12"/>
  <c r="AP36" i="12" s="1"/>
  <c r="AO35" i="12"/>
  <c r="AN35" i="12"/>
  <c r="AM35" i="12"/>
  <c r="AL35" i="12"/>
  <c r="AK35" i="12"/>
  <c r="AO34" i="12"/>
  <c r="AN34" i="12"/>
  <c r="AM34" i="12"/>
  <c r="AL34" i="12"/>
  <c r="AK34" i="12"/>
  <c r="AP34" i="12" s="1"/>
  <c r="AP33" i="12"/>
  <c r="AO33" i="12"/>
  <c r="AN33" i="12"/>
  <c r="AM33" i="12"/>
  <c r="AL33" i="12"/>
  <c r="AK33" i="12"/>
  <c r="AO32" i="12"/>
  <c r="AN32" i="12"/>
  <c r="AM32" i="12"/>
  <c r="AL32" i="12"/>
  <c r="AK32" i="12"/>
  <c r="AP32" i="12" s="1"/>
  <c r="AO31" i="12"/>
  <c r="AN31" i="12"/>
  <c r="AM31" i="12"/>
  <c r="AL31" i="12"/>
  <c r="AK31" i="12"/>
  <c r="AP31" i="12" s="1"/>
  <c r="AP30" i="12"/>
  <c r="AO30" i="12"/>
  <c r="AN30" i="12"/>
  <c r="AM30" i="12"/>
  <c r="AL30" i="12"/>
  <c r="AK30" i="12"/>
  <c r="AO29" i="12"/>
  <c r="AN29" i="12"/>
  <c r="AM29" i="12"/>
  <c r="AL29" i="12"/>
  <c r="AK29" i="12"/>
  <c r="AP29" i="12" s="1"/>
  <c r="AO28" i="12"/>
  <c r="AN28" i="12"/>
  <c r="AM28" i="12"/>
  <c r="AL28" i="12"/>
  <c r="AK28" i="12"/>
  <c r="AP28" i="12" s="1"/>
  <c r="AP27" i="12"/>
  <c r="AO27" i="12"/>
  <c r="AN27" i="12"/>
  <c r="AM27" i="12"/>
  <c r="AL27" i="12"/>
  <c r="AK27" i="12"/>
  <c r="AO26" i="12"/>
  <c r="AN26" i="12"/>
  <c r="AM26" i="12"/>
  <c r="AL26" i="12"/>
  <c r="AK26" i="12"/>
  <c r="AP26" i="12" s="1"/>
  <c r="AO25" i="12"/>
  <c r="AN25" i="12"/>
  <c r="AM25" i="12"/>
  <c r="AL25" i="12"/>
  <c r="AK25" i="12"/>
  <c r="AP25" i="12" s="1"/>
  <c r="AP24" i="12"/>
  <c r="AO24" i="12"/>
  <c r="AN24" i="12"/>
  <c r="AM24" i="12"/>
  <c r="AL24" i="12"/>
  <c r="AK24" i="12"/>
  <c r="AO23" i="12"/>
  <c r="AN23" i="12"/>
  <c r="AM23" i="12"/>
  <c r="AL23" i="12"/>
  <c r="AK23" i="12"/>
  <c r="AP23" i="12" s="1"/>
  <c r="AO22" i="12"/>
  <c r="AN22" i="12"/>
  <c r="AM22" i="12"/>
  <c r="AL22" i="12"/>
  <c r="AK22" i="12"/>
  <c r="AP22" i="12" s="1"/>
  <c r="AO21" i="12"/>
  <c r="AN21" i="12"/>
  <c r="AM21" i="12"/>
  <c r="AL21" i="12"/>
  <c r="AP21" i="12" s="1"/>
  <c r="AK21" i="12"/>
  <c r="AO20" i="12"/>
  <c r="AN20" i="12"/>
  <c r="AM20" i="12"/>
  <c r="AL20" i="12"/>
  <c r="AK20" i="12"/>
  <c r="AP20" i="12" s="1"/>
  <c r="AO19" i="12"/>
  <c r="AN19" i="12"/>
  <c r="AM19" i="12"/>
  <c r="AL19" i="12"/>
  <c r="AK19" i="12"/>
  <c r="AP19" i="12" s="1"/>
  <c r="AO18" i="12"/>
  <c r="AN18" i="12"/>
  <c r="AM18" i="12"/>
  <c r="AL18" i="12"/>
  <c r="AK18" i="12"/>
  <c r="AP18" i="12" s="1"/>
  <c r="AO17" i="12"/>
  <c r="AN17" i="12"/>
  <c r="AM17" i="12"/>
  <c r="AL17" i="12"/>
  <c r="AK17" i="12"/>
  <c r="AP17" i="12" s="1"/>
  <c r="AO16" i="12"/>
  <c r="AN16" i="12"/>
  <c r="AM16" i="12"/>
  <c r="AL16" i="12"/>
  <c r="AK16" i="12"/>
  <c r="AP16" i="12" s="1"/>
  <c r="AP15" i="12"/>
  <c r="AO15" i="12"/>
  <c r="AN15" i="12"/>
  <c r="AM15" i="12"/>
  <c r="AL15" i="12"/>
  <c r="AK15" i="12"/>
  <c r="AP14" i="12"/>
  <c r="AO14" i="12"/>
  <c r="AN14" i="12"/>
  <c r="AM14" i="12"/>
  <c r="AL14" i="12"/>
  <c r="AK14" i="12"/>
  <c r="AO13" i="12"/>
  <c r="AN13" i="12"/>
  <c r="AM13" i="12"/>
  <c r="AL13" i="12"/>
  <c r="AK13" i="12"/>
  <c r="AP13" i="12" s="1"/>
  <c r="AP12" i="12"/>
  <c r="AO12" i="12"/>
  <c r="AN12" i="12"/>
  <c r="AM12" i="12"/>
  <c r="AL12" i="12"/>
  <c r="AK12" i="12"/>
  <c r="AP11" i="12"/>
  <c r="AO11" i="12"/>
  <c r="AN11" i="12"/>
  <c r="AM11" i="12"/>
  <c r="AL11" i="12"/>
  <c r="AK11" i="12"/>
  <c r="AO10" i="12"/>
  <c r="AN10" i="12"/>
  <c r="AM10" i="12"/>
  <c r="AL10" i="12"/>
  <c r="AK10" i="12"/>
  <c r="AP10" i="12" s="1"/>
  <c r="AP9" i="12"/>
  <c r="AO9" i="12"/>
  <c r="AN9" i="12"/>
  <c r="AM9" i="12"/>
  <c r="AL9" i="12"/>
  <c r="AK9" i="12"/>
  <c r="AP8" i="12"/>
  <c r="AO8" i="12"/>
  <c r="AN8" i="12"/>
  <c r="AM8" i="12"/>
  <c r="AL8" i="12"/>
  <c r="AK8" i="12"/>
  <c r="AO7" i="12"/>
  <c r="AN7" i="12"/>
  <c r="AM7" i="12"/>
  <c r="AL7" i="12"/>
  <c r="AK7" i="12"/>
  <c r="AP7" i="12" s="1"/>
  <c r="AO6" i="12"/>
  <c r="AN6" i="12"/>
  <c r="AM6" i="12"/>
  <c r="AL6" i="12"/>
  <c r="AK6" i="12"/>
  <c r="AP6" i="12" s="1"/>
  <c r="AP5" i="12"/>
  <c r="AO5" i="12"/>
  <c r="AN5" i="12"/>
  <c r="AM5" i="12"/>
  <c r="AL5" i="12"/>
  <c r="AK5" i="12"/>
  <c r="AO4" i="12"/>
  <c r="AN4" i="12"/>
  <c r="AM4" i="12"/>
  <c r="AL4" i="12"/>
  <c r="AK4" i="12"/>
  <c r="AP4" i="12" s="1"/>
  <c r="AO3" i="12"/>
  <c r="AN3" i="12"/>
  <c r="AM3" i="12"/>
  <c r="AL3" i="12"/>
  <c r="AK3" i="12"/>
  <c r="AP3" i="12" s="1"/>
  <c r="AP2" i="12"/>
  <c r="AO2" i="12"/>
  <c r="AN2" i="12"/>
  <c r="AM2" i="12"/>
  <c r="AL2" i="12"/>
  <c r="AK2" i="12"/>
  <c r="AO49" i="11"/>
  <c r="AN49" i="11"/>
  <c r="AM49" i="11"/>
  <c r="AL49" i="11"/>
  <c r="AK49" i="11"/>
  <c r="AP49" i="11" s="1"/>
  <c r="AO48" i="11"/>
  <c r="AN48" i="11"/>
  <c r="AM48" i="11"/>
  <c r="AL48" i="11"/>
  <c r="AK48" i="11"/>
  <c r="AP48" i="11" s="1"/>
  <c r="AP47" i="11"/>
  <c r="AO47" i="11"/>
  <c r="AN47" i="11"/>
  <c r="AM47" i="11"/>
  <c r="AL47" i="11"/>
  <c r="AK47" i="11"/>
  <c r="AO46" i="11"/>
  <c r="AN46" i="11"/>
  <c r="AM46" i="11"/>
  <c r="AL46" i="11"/>
  <c r="AK46" i="11"/>
  <c r="AP46" i="11" s="1"/>
  <c r="AO45" i="11"/>
  <c r="AN45" i="11"/>
  <c r="AM45" i="11"/>
  <c r="AL45" i="11"/>
  <c r="AK45" i="11"/>
  <c r="AP45" i="11" s="1"/>
  <c r="AO44" i="11"/>
  <c r="AN44" i="11"/>
  <c r="AM44" i="11"/>
  <c r="AL44" i="11"/>
  <c r="AK44" i="11"/>
  <c r="AP44" i="11" s="1"/>
  <c r="AO43" i="11"/>
  <c r="AN43" i="11"/>
  <c r="AM43" i="11"/>
  <c r="AL43" i="11"/>
  <c r="AK43" i="11"/>
  <c r="AP43" i="11" s="1"/>
  <c r="AO42" i="11"/>
  <c r="AN42" i="11"/>
  <c r="AM42" i="11"/>
  <c r="AL42" i="11"/>
  <c r="AK42" i="11"/>
  <c r="AP42" i="11" s="1"/>
  <c r="AO41" i="11"/>
  <c r="AN41" i="11"/>
  <c r="AM41" i="11"/>
  <c r="AL41" i="11"/>
  <c r="AK41" i="11"/>
  <c r="AP41" i="11" s="1"/>
  <c r="AO40" i="11"/>
  <c r="AN40" i="11"/>
  <c r="AM40" i="11"/>
  <c r="AL40" i="11"/>
  <c r="AK40" i="11"/>
  <c r="AP40" i="11" s="1"/>
  <c r="AO39" i="11"/>
  <c r="AN39" i="11"/>
  <c r="AM39" i="11"/>
  <c r="AL39" i="11"/>
  <c r="AK39" i="11"/>
  <c r="AP39" i="11" s="1"/>
  <c r="AO38" i="11"/>
  <c r="AN38" i="11"/>
  <c r="AM38" i="11"/>
  <c r="AL38" i="11"/>
  <c r="AK38" i="11"/>
  <c r="AP38" i="11" s="1"/>
  <c r="AO37" i="11"/>
  <c r="AN37" i="11"/>
  <c r="AM37" i="11"/>
  <c r="AL37" i="11"/>
  <c r="AK37" i="11"/>
  <c r="AP37" i="11" s="1"/>
  <c r="AO36" i="11"/>
  <c r="AN36" i="11"/>
  <c r="AM36" i="11"/>
  <c r="AL36" i="11"/>
  <c r="AK36" i="11"/>
  <c r="AP36" i="11" s="1"/>
  <c r="AO35" i="11"/>
  <c r="AN35" i="11"/>
  <c r="AM35" i="11"/>
  <c r="AL35" i="11"/>
  <c r="AK35" i="11"/>
  <c r="AP35" i="11" s="1"/>
  <c r="AO34" i="11"/>
  <c r="AN34" i="11"/>
  <c r="AM34" i="11"/>
  <c r="AL34" i="11"/>
  <c r="AK34" i="11"/>
  <c r="AO33" i="11"/>
  <c r="AN33" i="11"/>
  <c r="AM33" i="11"/>
  <c r="AL33" i="11"/>
  <c r="AK33" i="11"/>
  <c r="AP33" i="11" s="1"/>
  <c r="AO32" i="11"/>
  <c r="AN32" i="11"/>
  <c r="AM32" i="11"/>
  <c r="AL32" i="11"/>
  <c r="AK32" i="11"/>
  <c r="AP32" i="11" s="1"/>
  <c r="AO31" i="11"/>
  <c r="AN31" i="11"/>
  <c r="AM31" i="11"/>
  <c r="AL31" i="11"/>
  <c r="AK31" i="11"/>
  <c r="AP31" i="11" s="1"/>
  <c r="AO30" i="11"/>
  <c r="AN30" i="11"/>
  <c r="AM30" i="11"/>
  <c r="AL30" i="11"/>
  <c r="AK30" i="11"/>
  <c r="AP30" i="11" s="1"/>
  <c r="AO29" i="11"/>
  <c r="AN29" i="11"/>
  <c r="AM29" i="11"/>
  <c r="AL29" i="11"/>
  <c r="AK29" i="11"/>
  <c r="AO28" i="11"/>
  <c r="AN28" i="11"/>
  <c r="AM28" i="11"/>
  <c r="AL28" i="11"/>
  <c r="AK28" i="11"/>
  <c r="AP28" i="11" s="1"/>
  <c r="AP27" i="11"/>
  <c r="AO27" i="11"/>
  <c r="AN27" i="11"/>
  <c r="AM27" i="11"/>
  <c r="AL27" i="11"/>
  <c r="AK27" i="11"/>
  <c r="AO26" i="11"/>
  <c r="AN26" i="11"/>
  <c r="AM26" i="11"/>
  <c r="AL26" i="11"/>
  <c r="AK26" i="11"/>
  <c r="AP26" i="11" s="1"/>
  <c r="AO25" i="11"/>
  <c r="AN25" i="11"/>
  <c r="AM25" i="11"/>
  <c r="AL25" i="11"/>
  <c r="AK25" i="11"/>
  <c r="AP25" i="11" s="1"/>
  <c r="AP24" i="11"/>
  <c r="AO24" i="11"/>
  <c r="AN24" i="11"/>
  <c r="AM24" i="11"/>
  <c r="AL24" i="11"/>
  <c r="AK24" i="11"/>
  <c r="AO23" i="11"/>
  <c r="AN23" i="11"/>
  <c r="AM23" i="11"/>
  <c r="AL23" i="11"/>
  <c r="AK23" i="11"/>
  <c r="AP23" i="11" s="1"/>
  <c r="AO22" i="11"/>
  <c r="AN22" i="11"/>
  <c r="AM22" i="11"/>
  <c r="AL22" i="11"/>
  <c r="AK22" i="11"/>
  <c r="AP22" i="11" s="1"/>
  <c r="AP21" i="11"/>
  <c r="AO21" i="11"/>
  <c r="AN21" i="11"/>
  <c r="AM21" i="11"/>
  <c r="AL21" i="11"/>
  <c r="AK21" i="11"/>
  <c r="AO20" i="11"/>
  <c r="AN20" i="11"/>
  <c r="AM20" i="11"/>
  <c r="AL20" i="11"/>
  <c r="AK20" i="11"/>
  <c r="AP20" i="11" s="1"/>
  <c r="AO19" i="11"/>
  <c r="AN19" i="11"/>
  <c r="AM19" i="11"/>
  <c r="AL19" i="11"/>
  <c r="AK19" i="11"/>
  <c r="AP19" i="11" s="1"/>
  <c r="AP18" i="11"/>
  <c r="AO18" i="11"/>
  <c r="AN18" i="11"/>
  <c r="AM18" i="11"/>
  <c r="AL18" i="11"/>
  <c r="AK18" i="11"/>
  <c r="AO17" i="11"/>
  <c r="AN17" i="11"/>
  <c r="AM17" i="11"/>
  <c r="AL17" i="11"/>
  <c r="AK17" i="11"/>
  <c r="AP17" i="11" s="1"/>
  <c r="AO16" i="11"/>
  <c r="AN16" i="11"/>
  <c r="AM16" i="11"/>
  <c r="AL16" i="11"/>
  <c r="AK16" i="11"/>
  <c r="AO15" i="11"/>
  <c r="AN15" i="11"/>
  <c r="AM15" i="11"/>
  <c r="AL15" i="11"/>
  <c r="AP15" i="11" s="1"/>
  <c r="AK15" i="11"/>
  <c r="AO14" i="11"/>
  <c r="AN14" i="11"/>
  <c r="AM14" i="11"/>
  <c r="AL14" i="11"/>
  <c r="AK14" i="11"/>
  <c r="AP14" i="11" s="1"/>
  <c r="AO13" i="11"/>
  <c r="AN13" i="11"/>
  <c r="AM13" i="11"/>
  <c r="AL13" i="11"/>
  <c r="AK13" i="11"/>
  <c r="AP13" i="11" s="1"/>
  <c r="AO12" i="11"/>
  <c r="AN12" i="11"/>
  <c r="AM12" i="11"/>
  <c r="AL12" i="11"/>
  <c r="AK12" i="11"/>
  <c r="AP12" i="11" s="1"/>
  <c r="AO11" i="11"/>
  <c r="AN11" i="11"/>
  <c r="AM11" i="11"/>
  <c r="AL11" i="11"/>
  <c r="AK11" i="11"/>
  <c r="AP11" i="11" s="1"/>
  <c r="AO10" i="11"/>
  <c r="AN10" i="11"/>
  <c r="AM10" i="11"/>
  <c r="AL10" i="11"/>
  <c r="AK10" i="11"/>
  <c r="AP10" i="11" s="1"/>
  <c r="AP9" i="11"/>
  <c r="AO9" i="11"/>
  <c r="AN9" i="11"/>
  <c r="AM9" i="11"/>
  <c r="AL9" i="11"/>
  <c r="AK9" i="11"/>
  <c r="AP8" i="11"/>
  <c r="AO8" i="11"/>
  <c r="AN8" i="11"/>
  <c r="AM8" i="11"/>
  <c r="AL8" i="11"/>
  <c r="AK8" i="11"/>
  <c r="AO7" i="11"/>
  <c r="AN7" i="11"/>
  <c r="AM7" i="11"/>
  <c r="AL7" i="11"/>
  <c r="AK7" i="11"/>
  <c r="AP7" i="11" s="1"/>
  <c r="AP6" i="11"/>
  <c r="AO6" i="11"/>
  <c r="AN6" i="11"/>
  <c r="AM6" i="11"/>
  <c r="AL6" i="11"/>
  <c r="AK6" i="11"/>
  <c r="AP5" i="11"/>
  <c r="AO5" i="11"/>
  <c r="AN5" i="11"/>
  <c r="AM5" i="11"/>
  <c r="AL5" i="11"/>
  <c r="AK5" i="11"/>
  <c r="AO4" i="11"/>
  <c r="AN4" i="11"/>
  <c r="AM4" i="11"/>
  <c r="AL4" i="11"/>
  <c r="AK4" i="11"/>
  <c r="AP4" i="11" s="1"/>
  <c r="AP3" i="11"/>
  <c r="AO3" i="11"/>
  <c r="AN3" i="11"/>
  <c r="AM3" i="11"/>
  <c r="AL3" i="11"/>
  <c r="AK3" i="11"/>
  <c r="AP2" i="11"/>
  <c r="AO2" i="11"/>
  <c r="AN2" i="11"/>
  <c r="AM2" i="11"/>
  <c r="AL2" i="11"/>
  <c r="AK2" i="11"/>
  <c r="AO49" i="10"/>
  <c r="AN49" i="10"/>
  <c r="AM49" i="10"/>
  <c r="AL49" i="10"/>
  <c r="AK49" i="10"/>
  <c r="AP49" i="10" s="1"/>
  <c r="AO48" i="10"/>
  <c r="AN48" i="10"/>
  <c r="AM48" i="10"/>
  <c r="AL48" i="10"/>
  <c r="AK48" i="10"/>
  <c r="AP48" i="10" s="1"/>
  <c r="AP47" i="10"/>
  <c r="AO47" i="10"/>
  <c r="AN47" i="10"/>
  <c r="AM47" i="10"/>
  <c r="AL47" i="10"/>
  <c r="AK47" i="10"/>
  <c r="AO46" i="10"/>
  <c r="AN46" i="10"/>
  <c r="AM46" i="10"/>
  <c r="AL46" i="10"/>
  <c r="AK46" i="10"/>
  <c r="AP46" i="10" s="1"/>
  <c r="AO45" i="10"/>
  <c r="AN45" i="10"/>
  <c r="AM45" i="10"/>
  <c r="AL45" i="10"/>
  <c r="AK45" i="10"/>
  <c r="AP45" i="10" s="1"/>
  <c r="AP44" i="10"/>
  <c r="AO44" i="10"/>
  <c r="AN44" i="10"/>
  <c r="AM44" i="10"/>
  <c r="AL44" i="10"/>
  <c r="AK44" i="10"/>
  <c r="AO43" i="10"/>
  <c r="AN43" i="10"/>
  <c r="AM43" i="10"/>
  <c r="AL43" i="10"/>
  <c r="AK43" i="10"/>
  <c r="AP43" i="10" s="1"/>
  <c r="AO42" i="10"/>
  <c r="AN42" i="10"/>
  <c r="AM42" i="10"/>
  <c r="AL42" i="10"/>
  <c r="AK42" i="10"/>
  <c r="AP42" i="10" s="1"/>
  <c r="AP41" i="10"/>
  <c r="AO41" i="10"/>
  <c r="AN41" i="10"/>
  <c r="AM41" i="10"/>
  <c r="AL41" i="10"/>
  <c r="AK41" i="10"/>
  <c r="AO40" i="10"/>
  <c r="AN40" i="10"/>
  <c r="AM40" i="10"/>
  <c r="AL40" i="10"/>
  <c r="AK40" i="10"/>
  <c r="AP40" i="10" s="1"/>
  <c r="AO39" i="10"/>
  <c r="AN39" i="10"/>
  <c r="AM39" i="10"/>
  <c r="AL39" i="10"/>
  <c r="AK39" i="10"/>
  <c r="AP39" i="10" s="1"/>
  <c r="AO38" i="10"/>
  <c r="AN38" i="10"/>
  <c r="AM38" i="10"/>
  <c r="AL38" i="10"/>
  <c r="AK38" i="10"/>
  <c r="AP38" i="10" s="1"/>
  <c r="AO37" i="10"/>
  <c r="AN37" i="10"/>
  <c r="AM37" i="10"/>
  <c r="AL37" i="10"/>
  <c r="AK37" i="10"/>
  <c r="AP37" i="10" s="1"/>
  <c r="AO36" i="10"/>
  <c r="AN36" i="10"/>
  <c r="AM36" i="10"/>
  <c r="AL36" i="10"/>
  <c r="AK36" i="10"/>
  <c r="AP36" i="10" s="1"/>
  <c r="AO35" i="10"/>
  <c r="AN35" i="10"/>
  <c r="AM35" i="10"/>
  <c r="AL35" i="10"/>
  <c r="AK35" i="10"/>
  <c r="AP35" i="10" s="1"/>
  <c r="AO34" i="10"/>
  <c r="AN34" i="10"/>
  <c r="AM34" i="10"/>
  <c r="AL34" i="10"/>
  <c r="AK34" i="10"/>
  <c r="AP34" i="10" s="1"/>
  <c r="AO33" i="10"/>
  <c r="AN33" i="10"/>
  <c r="AM33" i="10"/>
  <c r="AL33" i="10"/>
  <c r="AK33" i="10"/>
  <c r="AP33" i="10" s="1"/>
  <c r="AO32" i="10"/>
  <c r="AN32" i="10"/>
  <c r="AM32" i="10"/>
  <c r="AL32" i="10"/>
  <c r="AK32" i="10"/>
  <c r="AP32" i="10" s="1"/>
  <c r="AO31" i="10"/>
  <c r="AN31" i="10"/>
  <c r="AM31" i="10"/>
  <c r="AL31" i="10"/>
  <c r="AK31" i="10"/>
  <c r="AP31" i="10" s="1"/>
  <c r="AO30" i="10"/>
  <c r="AN30" i="10"/>
  <c r="AM30" i="10"/>
  <c r="AL30" i="10"/>
  <c r="AK30" i="10"/>
  <c r="AP30" i="10" s="1"/>
  <c r="AO29" i="10"/>
  <c r="AN29" i="10"/>
  <c r="AM29" i="10"/>
  <c r="AL29" i="10"/>
  <c r="AK29" i="10"/>
  <c r="AP29" i="10" s="1"/>
  <c r="AO28" i="10"/>
  <c r="AN28" i="10"/>
  <c r="AM28" i="10"/>
  <c r="AL28" i="10"/>
  <c r="AK28" i="10"/>
  <c r="AO27" i="10"/>
  <c r="AN27" i="10"/>
  <c r="AM27" i="10"/>
  <c r="AL27" i="10"/>
  <c r="AK27" i="10"/>
  <c r="AP27" i="10" s="1"/>
  <c r="AO26" i="10"/>
  <c r="AN26" i="10"/>
  <c r="AM26" i="10"/>
  <c r="AL26" i="10"/>
  <c r="AK26" i="10"/>
  <c r="AP26" i="10" s="1"/>
  <c r="AO25" i="10"/>
  <c r="AN25" i="10"/>
  <c r="AM25" i="10"/>
  <c r="AL25" i="10"/>
  <c r="AK25" i="10"/>
  <c r="AP25" i="10" s="1"/>
  <c r="AO24" i="10"/>
  <c r="AN24" i="10"/>
  <c r="AM24" i="10"/>
  <c r="AL24" i="10"/>
  <c r="AK24" i="10"/>
  <c r="AP24" i="10" s="1"/>
  <c r="AO23" i="10"/>
  <c r="AN23" i="10"/>
  <c r="AM23" i="10"/>
  <c r="AL23" i="10"/>
  <c r="AK23" i="10"/>
  <c r="AP23" i="10" s="1"/>
  <c r="AO22" i="10"/>
  <c r="AN22" i="10"/>
  <c r="AM22" i="10"/>
  <c r="AL22" i="10"/>
  <c r="AK22" i="10"/>
  <c r="AP22" i="10" s="1"/>
  <c r="AP21" i="10"/>
  <c r="AO21" i="10"/>
  <c r="AN21" i="10"/>
  <c r="AM21" i="10"/>
  <c r="AL21" i="10"/>
  <c r="AK21" i="10"/>
  <c r="AO20" i="10"/>
  <c r="AN20" i="10"/>
  <c r="AM20" i="10"/>
  <c r="AL20" i="10"/>
  <c r="AK20" i="10"/>
  <c r="AP20" i="10" s="1"/>
  <c r="AO19" i="10"/>
  <c r="AN19" i="10"/>
  <c r="AM19" i="10"/>
  <c r="AL19" i="10"/>
  <c r="AK19" i="10"/>
  <c r="AP19" i="10" s="1"/>
  <c r="AP18" i="10"/>
  <c r="AO18" i="10"/>
  <c r="AN18" i="10"/>
  <c r="AM18" i="10"/>
  <c r="AL18" i="10"/>
  <c r="AK18" i="10"/>
  <c r="AO17" i="10"/>
  <c r="AN17" i="10"/>
  <c r="AM17" i="10"/>
  <c r="AL17" i="10"/>
  <c r="AK17" i="10"/>
  <c r="AO16" i="10"/>
  <c r="AN16" i="10"/>
  <c r="AM16" i="10"/>
  <c r="AL16" i="10"/>
  <c r="AK16" i="10"/>
  <c r="AP16" i="10" s="1"/>
  <c r="AP15" i="10"/>
  <c r="AO15" i="10"/>
  <c r="AN15" i="10"/>
  <c r="AM15" i="10"/>
  <c r="AL15" i="10"/>
  <c r="AK15" i="10"/>
  <c r="AO14" i="10"/>
  <c r="AN14" i="10"/>
  <c r="AM14" i="10"/>
  <c r="AL14" i="10"/>
  <c r="AK14" i="10"/>
  <c r="AP14" i="10" s="1"/>
  <c r="AO13" i="10"/>
  <c r="AN13" i="10"/>
  <c r="AM13" i="10"/>
  <c r="AL13" i="10"/>
  <c r="AK13" i="10"/>
  <c r="AP12" i="10"/>
  <c r="AO12" i="10"/>
  <c r="AN12" i="10"/>
  <c r="AM12" i="10"/>
  <c r="AL12" i="10"/>
  <c r="AK12" i="10"/>
  <c r="AO11" i="10"/>
  <c r="AN11" i="10"/>
  <c r="AM11" i="10"/>
  <c r="AL11" i="10"/>
  <c r="AK11" i="10"/>
  <c r="AP11" i="10" s="1"/>
  <c r="AO10" i="10"/>
  <c r="AN10" i="10"/>
  <c r="AM10" i="10"/>
  <c r="AL10" i="10"/>
  <c r="AK10" i="10"/>
  <c r="AP10" i="10" s="1"/>
  <c r="AO9" i="10"/>
  <c r="AN9" i="10"/>
  <c r="AM9" i="10"/>
  <c r="AL9" i="10"/>
  <c r="AP9" i="10" s="1"/>
  <c r="AK9" i="10"/>
  <c r="AO8" i="10"/>
  <c r="AN8" i="10"/>
  <c r="AM8" i="10"/>
  <c r="AL8" i="10"/>
  <c r="AK8" i="10"/>
  <c r="AP8" i="10" s="1"/>
  <c r="AO7" i="10"/>
  <c r="AN7" i="10"/>
  <c r="AM7" i="10"/>
  <c r="AL7" i="10"/>
  <c r="AK7" i="10"/>
  <c r="AO6" i="10"/>
  <c r="AN6" i="10"/>
  <c r="AM6" i="10"/>
  <c r="AL6" i="10"/>
  <c r="AK6" i="10"/>
  <c r="AP6" i="10" s="1"/>
  <c r="AO5" i="10"/>
  <c r="AN5" i="10"/>
  <c r="AM5" i="10"/>
  <c r="AL5" i="10"/>
  <c r="AK5" i="10"/>
  <c r="AP5" i="10" s="1"/>
  <c r="AO4" i="10"/>
  <c r="AN4" i="10"/>
  <c r="AM4" i="10"/>
  <c r="AL4" i="10"/>
  <c r="AK4" i="10"/>
  <c r="AP4" i="10" s="1"/>
  <c r="AP3" i="10"/>
  <c r="AO3" i="10"/>
  <c r="AN3" i="10"/>
  <c r="AM3" i="10"/>
  <c r="AL3" i="10"/>
  <c r="AK3" i="10"/>
  <c r="AP2" i="10"/>
  <c r="AO2" i="10"/>
  <c r="AN2" i="10"/>
  <c r="AM2" i="10"/>
  <c r="AL2" i="10"/>
  <c r="AK2" i="10"/>
  <c r="AO49" i="9"/>
  <c r="AN49" i="9"/>
  <c r="AM49" i="9"/>
  <c r="AL49" i="9"/>
  <c r="AK49" i="9"/>
  <c r="AP49" i="9" s="1"/>
  <c r="AP48" i="9"/>
  <c r="AO48" i="9"/>
  <c r="AN48" i="9"/>
  <c r="AM48" i="9"/>
  <c r="AL48" i="9"/>
  <c r="AK48" i="9"/>
  <c r="AP47" i="9"/>
  <c r="AO47" i="9"/>
  <c r="AN47" i="9"/>
  <c r="AM47" i="9"/>
  <c r="AL47" i="9"/>
  <c r="AK47" i="9"/>
  <c r="AO46" i="9"/>
  <c r="AN46" i="9"/>
  <c r="AM46" i="9"/>
  <c r="AL46" i="9"/>
  <c r="AK46" i="9"/>
  <c r="AP46" i="9" s="1"/>
  <c r="AP45" i="9"/>
  <c r="AO45" i="9"/>
  <c r="AN45" i="9"/>
  <c r="AM45" i="9"/>
  <c r="AL45" i="9"/>
  <c r="AK45" i="9"/>
  <c r="AP44" i="9"/>
  <c r="AO44" i="9"/>
  <c r="AN44" i="9"/>
  <c r="AM44" i="9"/>
  <c r="AL44" i="9"/>
  <c r="AK44" i="9"/>
  <c r="AO43" i="9"/>
  <c r="AN43" i="9"/>
  <c r="AM43" i="9"/>
  <c r="AL43" i="9"/>
  <c r="AK43" i="9"/>
  <c r="AP43" i="9" s="1"/>
  <c r="AP42" i="9"/>
  <c r="AO42" i="9"/>
  <c r="AN42" i="9"/>
  <c r="AM42" i="9"/>
  <c r="AL42" i="9"/>
  <c r="AK42" i="9"/>
  <c r="AP41" i="9"/>
  <c r="AO41" i="9"/>
  <c r="AN41" i="9"/>
  <c r="AM41" i="9"/>
  <c r="AL41" i="9"/>
  <c r="AK41" i="9"/>
  <c r="AO40" i="9"/>
  <c r="AN40" i="9"/>
  <c r="AM40" i="9"/>
  <c r="AL40" i="9"/>
  <c r="AK40" i="9"/>
  <c r="AP40" i="9" s="1"/>
  <c r="AO39" i="9"/>
  <c r="AN39" i="9"/>
  <c r="AM39" i="9"/>
  <c r="AL39" i="9"/>
  <c r="AK39" i="9"/>
  <c r="AP39" i="9" s="1"/>
  <c r="AP38" i="9"/>
  <c r="AO38" i="9"/>
  <c r="AN38" i="9"/>
  <c r="AM38" i="9"/>
  <c r="AL38" i="9"/>
  <c r="AK38" i="9"/>
  <c r="AO37" i="9"/>
  <c r="AN37" i="9"/>
  <c r="AM37" i="9"/>
  <c r="AL37" i="9"/>
  <c r="AK37" i="9"/>
  <c r="AP37" i="9" s="1"/>
  <c r="AO36" i="9"/>
  <c r="AN36" i="9"/>
  <c r="AM36" i="9"/>
  <c r="AL36" i="9"/>
  <c r="AK36" i="9"/>
  <c r="AP36" i="9" s="1"/>
  <c r="AP35" i="9"/>
  <c r="AO35" i="9"/>
  <c r="AN35" i="9"/>
  <c r="AM35" i="9"/>
  <c r="AL35" i="9"/>
  <c r="AK35" i="9"/>
  <c r="AO34" i="9"/>
  <c r="AN34" i="9"/>
  <c r="AM34" i="9"/>
  <c r="AL34" i="9"/>
  <c r="AK34" i="9"/>
  <c r="AP34" i="9" s="1"/>
  <c r="AO33" i="9"/>
  <c r="AN33" i="9"/>
  <c r="AM33" i="9"/>
  <c r="AL33" i="9"/>
  <c r="AK33" i="9"/>
  <c r="AP33" i="9" s="1"/>
  <c r="AP32" i="9"/>
  <c r="AO32" i="9"/>
  <c r="AN32" i="9"/>
  <c r="AM32" i="9"/>
  <c r="AL32" i="9"/>
  <c r="AK32" i="9"/>
  <c r="AO31" i="9"/>
  <c r="AN31" i="9"/>
  <c r="AM31" i="9"/>
  <c r="AL31" i="9"/>
  <c r="AK31" i="9"/>
  <c r="AP31" i="9" s="1"/>
  <c r="AO30" i="9"/>
  <c r="AN30" i="9"/>
  <c r="AM30" i="9"/>
  <c r="AL30" i="9"/>
  <c r="AK30" i="9"/>
  <c r="AP30" i="9" s="1"/>
  <c r="AO29" i="9"/>
  <c r="AN29" i="9"/>
  <c r="AM29" i="9"/>
  <c r="AL29" i="9"/>
  <c r="AK29" i="9"/>
  <c r="AP29" i="9" s="1"/>
  <c r="AO28" i="9"/>
  <c r="AN28" i="9"/>
  <c r="AM28" i="9"/>
  <c r="AL28" i="9"/>
  <c r="AK28" i="9"/>
  <c r="AP28" i="9" s="1"/>
  <c r="AO27" i="9"/>
  <c r="AN27" i="9"/>
  <c r="AM27" i="9"/>
  <c r="AL27" i="9"/>
  <c r="AK27" i="9"/>
  <c r="AP27" i="9" s="1"/>
  <c r="AO26" i="9"/>
  <c r="AN26" i="9"/>
  <c r="AM26" i="9"/>
  <c r="AL26" i="9"/>
  <c r="AK26" i="9"/>
  <c r="AP26" i="9" s="1"/>
  <c r="AO25" i="9"/>
  <c r="AN25" i="9"/>
  <c r="AM25" i="9"/>
  <c r="AL25" i="9"/>
  <c r="AK25" i="9"/>
  <c r="AP25" i="9" s="1"/>
  <c r="AO24" i="9"/>
  <c r="AN24" i="9"/>
  <c r="AM24" i="9"/>
  <c r="AL24" i="9"/>
  <c r="AK24" i="9"/>
  <c r="AP24" i="9" s="1"/>
  <c r="AO23" i="9"/>
  <c r="AN23" i="9"/>
  <c r="AM23" i="9"/>
  <c r="AL23" i="9"/>
  <c r="AK23" i="9"/>
  <c r="AP23" i="9" s="1"/>
  <c r="AO22" i="9"/>
  <c r="AN22" i="9"/>
  <c r="AM22" i="9"/>
  <c r="AL22" i="9"/>
  <c r="AK22" i="9"/>
  <c r="AO21" i="9"/>
  <c r="AN21" i="9"/>
  <c r="AM21" i="9"/>
  <c r="AL21" i="9"/>
  <c r="AK21" i="9"/>
  <c r="AP21" i="9" s="1"/>
  <c r="AO20" i="9"/>
  <c r="AN20" i="9"/>
  <c r="AM20" i="9"/>
  <c r="AL20" i="9"/>
  <c r="AK20" i="9"/>
  <c r="AP20" i="9" s="1"/>
  <c r="AO19" i="9"/>
  <c r="AN19" i="9"/>
  <c r="AM19" i="9"/>
  <c r="AL19" i="9"/>
  <c r="AK19" i="9"/>
  <c r="AP19" i="9" s="1"/>
  <c r="AO18" i="9"/>
  <c r="AN18" i="9"/>
  <c r="AM18" i="9"/>
  <c r="AL18" i="9"/>
  <c r="AK18" i="9"/>
  <c r="AP18" i="9" s="1"/>
  <c r="AO17" i="9"/>
  <c r="AN17" i="9"/>
  <c r="AM17" i="9"/>
  <c r="AL17" i="9"/>
  <c r="AK17" i="9"/>
  <c r="AP17" i="9" s="1"/>
  <c r="AO16" i="9"/>
  <c r="AN16" i="9"/>
  <c r="AM16" i="9"/>
  <c r="AL16" i="9"/>
  <c r="AK16" i="9"/>
  <c r="AP16" i="9" s="1"/>
  <c r="AP15" i="9"/>
  <c r="AO15" i="9"/>
  <c r="AN15" i="9"/>
  <c r="AM15" i="9"/>
  <c r="AL15" i="9"/>
  <c r="AK15" i="9"/>
  <c r="AO14" i="9"/>
  <c r="AN14" i="9"/>
  <c r="AM14" i="9"/>
  <c r="AL14" i="9"/>
  <c r="AK14" i="9"/>
  <c r="AP14" i="9" s="1"/>
  <c r="AO13" i="9"/>
  <c r="AN13" i="9"/>
  <c r="AM13" i="9"/>
  <c r="AL13" i="9"/>
  <c r="AK13" i="9"/>
  <c r="AP13" i="9" s="1"/>
  <c r="AP12" i="9"/>
  <c r="AO12" i="9"/>
  <c r="AN12" i="9"/>
  <c r="AM12" i="9"/>
  <c r="AL12" i="9"/>
  <c r="AK12" i="9"/>
  <c r="AO11" i="9"/>
  <c r="AN11" i="9"/>
  <c r="AM11" i="9"/>
  <c r="AL11" i="9"/>
  <c r="AK11" i="9"/>
  <c r="AP11" i="9" s="1"/>
  <c r="AO10" i="9"/>
  <c r="AN10" i="9"/>
  <c r="AM10" i="9"/>
  <c r="AL10" i="9"/>
  <c r="AK10" i="9"/>
  <c r="AP10" i="9" s="1"/>
  <c r="AP9" i="9"/>
  <c r="AO9" i="9"/>
  <c r="AN9" i="9"/>
  <c r="AM9" i="9"/>
  <c r="AL9" i="9"/>
  <c r="AK9" i="9"/>
  <c r="AO8" i="9"/>
  <c r="AN8" i="9"/>
  <c r="AM8" i="9"/>
  <c r="AL8" i="9"/>
  <c r="AK8" i="9"/>
  <c r="AP8" i="9" s="1"/>
  <c r="AO7" i="9"/>
  <c r="AN7" i="9"/>
  <c r="AM7" i="9"/>
  <c r="AL7" i="9"/>
  <c r="AK7" i="9"/>
  <c r="AP7" i="9" s="1"/>
  <c r="AP6" i="9"/>
  <c r="AO6" i="9"/>
  <c r="AN6" i="9"/>
  <c r="AM6" i="9"/>
  <c r="AL6" i="9"/>
  <c r="AK6" i="9"/>
  <c r="AO5" i="9"/>
  <c r="AN5" i="9"/>
  <c r="AM5" i="9"/>
  <c r="AL5" i="9"/>
  <c r="AK5" i="9"/>
  <c r="AP5" i="9" s="1"/>
  <c r="AO4" i="9"/>
  <c r="AN4" i="9"/>
  <c r="AM4" i="9"/>
  <c r="AL4" i="9"/>
  <c r="AK4" i="9"/>
  <c r="AO3" i="9"/>
  <c r="AN3" i="9"/>
  <c r="AM3" i="9"/>
  <c r="AL3" i="9"/>
  <c r="AP3" i="9" s="1"/>
  <c r="AK3" i="9"/>
  <c r="AO2" i="9"/>
  <c r="AN2" i="9"/>
  <c r="AM2" i="9"/>
  <c r="AL2" i="9"/>
  <c r="AK2" i="9"/>
  <c r="AP2" i="9" s="1"/>
  <c r="AO49" i="8"/>
  <c r="AN49" i="8"/>
  <c r="AM49" i="8"/>
  <c r="AL49" i="8"/>
  <c r="AK49" i="8"/>
  <c r="AP49" i="8" s="1"/>
  <c r="AO48" i="8"/>
  <c r="AN48" i="8"/>
  <c r="AM48" i="8"/>
  <c r="AL48" i="8"/>
  <c r="AK48" i="8"/>
  <c r="AP48" i="8" s="1"/>
  <c r="AO47" i="8"/>
  <c r="AN47" i="8"/>
  <c r="AM47" i="8"/>
  <c r="AL47" i="8"/>
  <c r="AK47" i="8"/>
  <c r="AP47" i="8" s="1"/>
  <c r="AO46" i="8"/>
  <c r="AN46" i="8"/>
  <c r="AM46" i="8"/>
  <c r="AL46" i="8"/>
  <c r="AK46" i="8"/>
  <c r="AO45" i="8"/>
  <c r="AN45" i="8"/>
  <c r="AM45" i="8"/>
  <c r="AL45" i="8"/>
  <c r="AK45" i="8"/>
  <c r="AP45" i="8" s="1"/>
  <c r="AP44" i="8"/>
  <c r="AO44" i="8"/>
  <c r="AN44" i="8"/>
  <c r="AM44" i="8"/>
  <c r="AL44" i="8"/>
  <c r="AK44" i="8"/>
  <c r="AO43" i="8"/>
  <c r="AN43" i="8"/>
  <c r="AM43" i="8"/>
  <c r="AL43" i="8"/>
  <c r="AK43" i="8"/>
  <c r="AP43" i="8" s="1"/>
  <c r="AO42" i="8"/>
  <c r="AN42" i="8"/>
  <c r="AM42" i="8"/>
  <c r="AL42" i="8"/>
  <c r="AK42" i="8"/>
  <c r="AP42" i="8" s="1"/>
  <c r="AP41" i="8"/>
  <c r="AO41" i="8"/>
  <c r="AN41" i="8"/>
  <c r="AM41" i="8"/>
  <c r="AL41" i="8"/>
  <c r="AK41" i="8"/>
  <c r="AO40" i="8"/>
  <c r="AN40" i="8"/>
  <c r="AM40" i="8"/>
  <c r="AL40" i="8"/>
  <c r="AK40" i="8"/>
  <c r="AP40" i="8" s="1"/>
  <c r="AP39" i="8"/>
  <c r="AO39" i="8"/>
  <c r="AN39" i="8"/>
  <c r="AM39" i="8"/>
  <c r="AL39" i="8"/>
  <c r="AK39" i="8"/>
  <c r="AP38" i="8"/>
  <c r="AO38" i="8"/>
  <c r="AN38" i="8"/>
  <c r="AM38" i="8"/>
  <c r="AL38" i="8"/>
  <c r="AK38" i="8"/>
  <c r="AO37" i="8"/>
  <c r="AN37" i="8"/>
  <c r="AM37" i="8"/>
  <c r="AL37" i="8"/>
  <c r="AK37" i="8"/>
  <c r="AP37" i="8" s="1"/>
  <c r="AP36" i="8"/>
  <c r="AO36" i="8"/>
  <c r="AN36" i="8"/>
  <c r="AM36" i="8"/>
  <c r="AL36" i="8"/>
  <c r="AK36" i="8"/>
  <c r="AP35" i="8"/>
  <c r="AO35" i="8"/>
  <c r="AN35" i="8"/>
  <c r="AM35" i="8"/>
  <c r="AL35" i="8"/>
  <c r="AK35" i="8"/>
  <c r="AO34" i="8"/>
  <c r="AN34" i="8"/>
  <c r="AM34" i="8"/>
  <c r="AL34" i="8"/>
  <c r="AK34" i="8"/>
  <c r="AP34" i="8" s="1"/>
  <c r="AO33" i="8"/>
  <c r="AN33" i="8"/>
  <c r="AM33" i="8"/>
  <c r="AL33" i="8"/>
  <c r="AK33" i="8"/>
  <c r="AO32" i="8"/>
  <c r="AN32" i="8"/>
  <c r="AM32" i="8"/>
  <c r="AL32" i="8"/>
  <c r="AP32" i="8" s="1"/>
  <c r="AK32" i="8"/>
  <c r="AO31" i="8"/>
  <c r="AN31" i="8"/>
  <c r="AM31" i="8"/>
  <c r="AL31" i="8"/>
  <c r="AK31" i="8"/>
  <c r="AP31" i="8" s="1"/>
  <c r="AO30" i="8"/>
  <c r="AN30" i="8"/>
  <c r="AM30" i="8"/>
  <c r="AL30" i="8"/>
  <c r="AK30" i="8"/>
  <c r="AP30" i="8" s="1"/>
  <c r="AO29" i="8"/>
  <c r="AN29" i="8"/>
  <c r="AM29" i="8"/>
  <c r="AL29" i="8"/>
  <c r="AK29" i="8"/>
  <c r="AP29" i="8" s="1"/>
  <c r="AO28" i="8"/>
  <c r="AN28" i="8"/>
  <c r="AM28" i="8"/>
  <c r="AL28" i="8"/>
  <c r="AK28" i="8"/>
  <c r="AP28" i="8" s="1"/>
  <c r="AO27" i="8"/>
  <c r="AN27" i="8"/>
  <c r="AM27" i="8"/>
  <c r="AL27" i="8"/>
  <c r="AK27" i="8"/>
  <c r="AP27" i="8" s="1"/>
  <c r="AP26" i="8"/>
  <c r="AO26" i="8"/>
  <c r="AN26" i="8"/>
  <c r="AM26" i="8"/>
  <c r="AL26" i="8"/>
  <c r="AK26" i="8"/>
  <c r="AO25" i="8"/>
  <c r="AN25" i="8"/>
  <c r="AM25" i="8"/>
  <c r="AL25" i="8"/>
  <c r="AK25" i="8"/>
  <c r="AP25" i="8" s="1"/>
  <c r="AO24" i="8"/>
  <c r="AN24" i="8"/>
  <c r="AM24" i="8"/>
  <c r="AL24" i="8"/>
  <c r="AK24" i="8"/>
  <c r="AP24" i="8" s="1"/>
  <c r="AP23" i="8"/>
  <c r="AO23" i="8"/>
  <c r="AN23" i="8"/>
  <c r="AM23" i="8"/>
  <c r="AL23" i="8"/>
  <c r="AK23" i="8"/>
  <c r="AO22" i="8"/>
  <c r="AN22" i="8"/>
  <c r="AM22" i="8"/>
  <c r="AL22" i="8"/>
  <c r="AK22" i="8"/>
  <c r="AP22" i="8" s="1"/>
  <c r="AO21" i="8"/>
  <c r="AN21" i="8"/>
  <c r="AM21" i="8"/>
  <c r="AL21" i="8"/>
  <c r="AK21" i="8"/>
  <c r="AP21" i="8" s="1"/>
  <c r="AO20" i="8"/>
  <c r="AN20" i="8"/>
  <c r="AM20" i="8"/>
  <c r="AL20" i="8"/>
  <c r="AK20" i="8"/>
  <c r="AP20" i="8" s="1"/>
  <c r="AO19" i="8"/>
  <c r="AN19" i="8"/>
  <c r="AM19" i="8"/>
  <c r="AL19" i="8"/>
  <c r="AK19" i="8"/>
  <c r="AP19" i="8" s="1"/>
  <c r="AO18" i="8"/>
  <c r="AN18" i="8"/>
  <c r="AM18" i="8"/>
  <c r="AL18" i="8"/>
  <c r="AK18" i="8"/>
  <c r="AP18" i="8" s="1"/>
  <c r="AO17" i="8"/>
  <c r="AN17" i="8"/>
  <c r="AM17" i="8"/>
  <c r="AL17" i="8"/>
  <c r="AK17" i="8"/>
  <c r="AP17" i="8" s="1"/>
  <c r="AO16" i="8"/>
  <c r="AN16" i="8"/>
  <c r="AM16" i="8"/>
  <c r="AL16" i="8"/>
  <c r="AK16" i="8"/>
  <c r="AO15" i="8"/>
  <c r="AN15" i="8"/>
  <c r="AM15" i="8"/>
  <c r="AL15" i="8"/>
  <c r="AK15" i="8"/>
  <c r="AP15" i="8" s="1"/>
  <c r="AO14" i="8"/>
  <c r="AN14" i="8"/>
  <c r="AM14" i="8"/>
  <c r="AL14" i="8"/>
  <c r="AK14" i="8"/>
  <c r="AP14" i="8" s="1"/>
  <c r="AO13" i="8"/>
  <c r="AN13" i="8"/>
  <c r="AM13" i="8"/>
  <c r="AL13" i="8"/>
  <c r="AK13" i="8"/>
  <c r="AP13" i="8" s="1"/>
  <c r="AO12" i="8"/>
  <c r="AN12" i="8"/>
  <c r="AM12" i="8"/>
  <c r="AL12" i="8"/>
  <c r="AK12" i="8"/>
  <c r="AP12" i="8" s="1"/>
  <c r="AO11" i="8"/>
  <c r="AN11" i="8"/>
  <c r="AM11" i="8"/>
  <c r="AL11" i="8"/>
  <c r="AK11" i="8"/>
  <c r="AP11" i="8" s="1"/>
  <c r="AO10" i="8"/>
  <c r="AN10" i="8"/>
  <c r="AM10" i="8"/>
  <c r="AL10" i="8"/>
  <c r="AK10" i="8"/>
  <c r="AP10" i="8" s="1"/>
  <c r="AP9" i="8"/>
  <c r="AO9" i="8"/>
  <c r="AN9" i="8"/>
  <c r="AM9" i="8"/>
  <c r="AL9" i="8"/>
  <c r="AK9" i="8"/>
  <c r="AO8" i="8"/>
  <c r="AN8" i="8"/>
  <c r="AM8" i="8"/>
  <c r="AL8" i="8"/>
  <c r="AK8" i="8"/>
  <c r="AP8" i="8" s="1"/>
  <c r="AO7" i="8"/>
  <c r="AN7" i="8"/>
  <c r="AM7" i="8"/>
  <c r="AL7" i="8"/>
  <c r="AK7" i="8"/>
  <c r="AP7" i="8" s="1"/>
  <c r="AP6" i="8"/>
  <c r="AO6" i="8"/>
  <c r="AN6" i="8"/>
  <c r="AM6" i="8"/>
  <c r="AL6" i="8"/>
  <c r="AK6" i="8"/>
  <c r="AO5" i="8"/>
  <c r="AN5" i="8"/>
  <c r="AM5" i="8"/>
  <c r="AL5" i="8"/>
  <c r="AK5" i="8"/>
  <c r="AP5" i="8" s="1"/>
  <c r="AO4" i="8"/>
  <c r="AN4" i="8"/>
  <c r="AM4" i="8"/>
  <c r="AL4" i="8"/>
  <c r="AK4" i="8"/>
  <c r="AP4" i="8" s="1"/>
  <c r="AP3" i="8"/>
  <c r="AO3" i="8"/>
  <c r="AN3" i="8"/>
  <c r="AM3" i="8"/>
  <c r="AL3" i="8"/>
  <c r="AK3" i="8"/>
  <c r="AO2" i="8"/>
  <c r="AN2" i="8"/>
  <c r="AM2" i="8"/>
  <c r="AL2" i="8"/>
  <c r="AK2" i="8"/>
  <c r="AP2" i="8" s="1"/>
  <c r="AO49" i="7"/>
  <c r="AN49" i="7"/>
  <c r="AM49" i="7"/>
  <c r="AL49" i="7"/>
  <c r="AK49" i="7"/>
  <c r="AP49" i="7" s="1"/>
  <c r="AP48" i="7"/>
  <c r="AO48" i="7"/>
  <c r="AN48" i="7"/>
  <c r="AM48" i="7"/>
  <c r="AL48" i="7"/>
  <c r="AK48" i="7"/>
  <c r="AO47" i="7"/>
  <c r="AN47" i="7"/>
  <c r="AM47" i="7"/>
  <c r="AL47" i="7"/>
  <c r="AK47" i="7"/>
  <c r="AP47" i="7" s="1"/>
  <c r="AO46" i="7"/>
  <c r="AN46" i="7"/>
  <c r="AM46" i="7"/>
  <c r="AL46" i="7"/>
  <c r="AK46" i="7"/>
  <c r="AP46" i="7" s="1"/>
  <c r="AO45" i="7"/>
  <c r="AN45" i="7"/>
  <c r="AM45" i="7"/>
  <c r="AL45" i="7"/>
  <c r="AP45" i="7" s="1"/>
  <c r="AK45" i="7"/>
  <c r="AO44" i="7"/>
  <c r="AN44" i="7"/>
  <c r="AM44" i="7"/>
  <c r="AL44" i="7"/>
  <c r="AK44" i="7"/>
  <c r="AP44" i="7" s="1"/>
  <c r="AO43" i="7"/>
  <c r="AN43" i="7"/>
  <c r="AM43" i="7"/>
  <c r="AL43" i="7"/>
  <c r="AK43" i="7"/>
  <c r="AO42" i="7"/>
  <c r="AN42" i="7"/>
  <c r="AM42" i="7"/>
  <c r="AL42" i="7"/>
  <c r="AK42" i="7"/>
  <c r="AP42" i="7" s="1"/>
  <c r="AO41" i="7"/>
  <c r="AN41" i="7"/>
  <c r="AM41" i="7"/>
  <c r="AL41" i="7"/>
  <c r="AK41" i="7"/>
  <c r="AP41" i="7" s="1"/>
  <c r="AO40" i="7"/>
  <c r="AN40" i="7"/>
  <c r="AM40" i="7"/>
  <c r="AL40" i="7"/>
  <c r="AK40" i="7"/>
  <c r="AP40" i="7" s="1"/>
  <c r="AO39" i="7"/>
  <c r="AN39" i="7"/>
  <c r="AM39" i="7"/>
  <c r="AL39" i="7"/>
  <c r="AK39" i="7"/>
  <c r="AP39" i="7" s="1"/>
  <c r="AP38" i="7"/>
  <c r="AO38" i="7"/>
  <c r="AN38" i="7"/>
  <c r="AM38" i="7"/>
  <c r="AL38" i="7"/>
  <c r="AK38" i="7"/>
  <c r="AO37" i="7"/>
  <c r="AN37" i="7"/>
  <c r="AM37" i="7"/>
  <c r="AL37" i="7"/>
  <c r="AK37" i="7"/>
  <c r="AO36" i="7"/>
  <c r="AN36" i="7"/>
  <c r="AM36" i="7"/>
  <c r="AL36" i="7"/>
  <c r="AK36" i="7"/>
  <c r="AP36" i="7" s="1"/>
  <c r="AP35" i="7"/>
  <c r="AO35" i="7"/>
  <c r="AN35" i="7"/>
  <c r="AM35" i="7"/>
  <c r="AL35" i="7"/>
  <c r="AK35" i="7"/>
  <c r="AO34" i="7"/>
  <c r="AN34" i="7"/>
  <c r="AM34" i="7"/>
  <c r="AL34" i="7"/>
  <c r="AK34" i="7"/>
  <c r="AO33" i="7"/>
  <c r="AN33" i="7"/>
  <c r="AM33" i="7"/>
  <c r="AL33" i="7"/>
  <c r="AK33" i="7"/>
  <c r="AP33" i="7" s="1"/>
  <c r="AP32" i="7"/>
  <c r="AO32" i="7"/>
  <c r="AN32" i="7"/>
  <c r="AM32" i="7"/>
  <c r="AL32" i="7"/>
  <c r="AK32" i="7"/>
  <c r="AO31" i="7"/>
  <c r="AN31" i="7"/>
  <c r="AM31" i="7"/>
  <c r="AL31" i="7"/>
  <c r="AK31" i="7"/>
  <c r="AP31" i="7" s="1"/>
  <c r="AO30" i="7"/>
  <c r="AN30" i="7"/>
  <c r="AM30" i="7"/>
  <c r="AL30" i="7"/>
  <c r="AK30" i="7"/>
  <c r="AP30" i="7" s="1"/>
  <c r="AP29" i="7"/>
  <c r="AO29" i="7"/>
  <c r="AN29" i="7"/>
  <c r="AM29" i="7"/>
  <c r="AL29" i="7"/>
  <c r="AK29" i="7"/>
  <c r="AO28" i="7"/>
  <c r="AN28" i="7"/>
  <c r="AM28" i="7"/>
  <c r="AL28" i="7"/>
  <c r="AK28" i="7"/>
  <c r="AP28" i="7" s="1"/>
  <c r="AP27" i="7"/>
  <c r="AO27" i="7"/>
  <c r="AN27" i="7"/>
  <c r="AM27" i="7"/>
  <c r="AL27" i="7"/>
  <c r="AK27" i="7"/>
  <c r="AP26" i="7"/>
  <c r="AO26" i="7"/>
  <c r="AN26" i="7"/>
  <c r="AM26" i="7"/>
  <c r="AL26" i="7"/>
  <c r="AK26" i="7"/>
  <c r="AO25" i="7"/>
  <c r="AN25" i="7"/>
  <c r="AM25" i="7"/>
  <c r="AL25" i="7"/>
  <c r="AK25" i="7"/>
  <c r="AP25" i="7" s="1"/>
  <c r="AP24" i="7"/>
  <c r="AO24" i="7"/>
  <c r="AN24" i="7"/>
  <c r="AM24" i="7"/>
  <c r="AL24" i="7"/>
  <c r="AK24" i="7"/>
  <c r="AP23" i="7"/>
  <c r="AO23" i="7"/>
  <c r="AN23" i="7"/>
  <c r="AM23" i="7"/>
  <c r="AL23" i="7"/>
  <c r="AK23" i="7"/>
  <c r="AO22" i="7"/>
  <c r="AN22" i="7"/>
  <c r="AM22" i="7"/>
  <c r="AL22" i="7"/>
  <c r="AK22" i="7"/>
  <c r="AP22" i="7" s="1"/>
  <c r="AP21" i="7"/>
  <c r="AO21" i="7"/>
  <c r="AN21" i="7"/>
  <c r="AM21" i="7"/>
  <c r="AL21" i="7"/>
  <c r="AK21" i="7"/>
  <c r="AP20" i="7"/>
  <c r="AO20" i="7"/>
  <c r="AN20" i="7"/>
  <c r="AM20" i="7"/>
  <c r="AL20" i="7"/>
  <c r="AK20" i="7"/>
  <c r="AO19" i="7"/>
  <c r="AN19" i="7"/>
  <c r="AM19" i="7"/>
  <c r="AL19" i="7"/>
  <c r="AK19" i="7"/>
  <c r="AP19" i="7" s="1"/>
  <c r="AP18" i="7"/>
  <c r="AO18" i="7"/>
  <c r="AN18" i="7"/>
  <c r="AM18" i="7"/>
  <c r="AL18" i="7"/>
  <c r="AK18" i="7"/>
  <c r="AP17" i="7"/>
  <c r="AO17" i="7"/>
  <c r="AN17" i="7"/>
  <c r="AM17" i="7"/>
  <c r="AL17" i="7"/>
  <c r="AK17" i="7"/>
  <c r="AO16" i="7"/>
  <c r="AN16" i="7"/>
  <c r="AM16" i="7"/>
  <c r="AL16" i="7"/>
  <c r="AK16" i="7"/>
  <c r="AP16" i="7" s="1"/>
  <c r="AO15" i="7"/>
  <c r="AN15" i="7"/>
  <c r="AM15" i="7"/>
  <c r="AL15" i="7"/>
  <c r="AP15" i="7" s="1"/>
  <c r="AK15" i="7"/>
  <c r="AP14" i="7"/>
  <c r="AO14" i="7"/>
  <c r="AN14" i="7"/>
  <c r="AM14" i="7"/>
  <c r="AL14" i="7"/>
  <c r="AK14" i="7"/>
  <c r="AO13" i="7"/>
  <c r="AN13" i="7"/>
  <c r="AM13" i="7"/>
  <c r="AL13" i="7"/>
  <c r="AK13" i="7"/>
  <c r="AP13" i="7" s="1"/>
  <c r="AO12" i="7"/>
  <c r="AN12" i="7"/>
  <c r="AM12" i="7"/>
  <c r="AL12" i="7"/>
  <c r="AK12" i="7"/>
  <c r="AP12" i="7" s="1"/>
  <c r="AP11" i="7"/>
  <c r="AO11" i="7"/>
  <c r="AN11" i="7"/>
  <c r="AM11" i="7"/>
  <c r="AL11" i="7"/>
  <c r="AK11" i="7"/>
  <c r="AO10" i="7"/>
  <c r="AN10" i="7"/>
  <c r="AM10" i="7"/>
  <c r="AL10" i="7"/>
  <c r="AK10" i="7"/>
  <c r="AP10" i="7" s="1"/>
  <c r="AO9" i="7"/>
  <c r="AN9" i="7"/>
  <c r="AM9" i="7"/>
  <c r="AL9" i="7"/>
  <c r="AK9" i="7"/>
  <c r="AP9" i="7" s="1"/>
  <c r="AP8" i="7"/>
  <c r="AO8" i="7"/>
  <c r="AN8" i="7"/>
  <c r="AM8" i="7"/>
  <c r="AL8" i="7"/>
  <c r="AK8" i="7"/>
  <c r="AO7" i="7"/>
  <c r="AN7" i="7"/>
  <c r="AM7" i="7"/>
  <c r="AL7" i="7"/>
  <c r="AK7" i="7"/>
  <c r="AP7" i="7" s="1"/>
  <c r="AO6" i="7"/>
  <c r="AN6" i="7"/>
  <c r="AM6" i="7"/>
  <c r="AL6" i="7"/>
  <c r="AK6" i="7"/>
  <c r="AP6" i="7" s="1"/>
  <c r="AP5" i="7"/>
  <c r="AO5" i="7"/>
  <c r="AN5" i="7"/>
  <c r="AM5" i="7"/>
  <c r="AL5" i="7"/>
  <c r="AK5" i="7"/>
  <c r="AO4" i="7"/>
  <c r="AN4" i="7"/>
  <c r="AM4" i="7"/>
  <c r="AL4" i="7"/>
  <c r="AK4" i="7"/>
  <c r="AP4" i="7" s="1"/>
  <c r="AO3" i="7"/>
  <c r="AN3" i="7"/>
  <c r="AM3" i="7"/>
  <c r="AL3" i="7"/>
  <c r="AK3" i="7"/>
  <c r="AP3" i="7" s="1"/>
  <c r="AP2" i="7"/>
  <c r="AO2" i="7"/>
  <c r="AN2" i="7"/>
  <c r="AM2" i="7"/>
  <c r="AL2" i="7"/>
  <c r="AK2" i="7"/>
  <c r="AO49" i="6"/>
  <c r="AN49" i="6"/>
  <c r="AM49" i="6"/>
  <c r="AL49" i="6"/>
  <c r="AK49" i="6"/>
  <c r="AP49" i="6" s="1"/>
  <c r="AO48" i="6"/>
  <c r="AN48" i="6"/>
  <c r="AM48" i="6"/>
  <c r="AL48" i="6"/>
  <c r="AK48" i="6"/>
  <c r="AP48" i="6" s="1"/>
  <c r="AP47" i="6"/>
  <c r="AO47" i="6"/>
  <c r="AN47" i="6"/>
  <c r="AM47" i="6"/>
  <c r="AL47" i="6"/>
  <c r="AK47" i="6"/>
  <c r="AO46" i="6"/>
  <c r="AN46" i="6"/>
  <c r="AM46" i="6"/>
  <c r="AL46" i="6"/>
  <c r="AK46" i="6"/>
  <c r="AP46" i="6" s="1"/>
  <c r="AO45" i="6"/>
  <c r="AN45" i="6"/>
  <c r="AM45" i="6"/>
  <c r="AL45" i="6"/>
  <c r="AK45" i="6"/>
  <c r="AP45" i="6" s="1"/>
  <c r="AP44" i="6"/>
  <c r="AO44" i="6"/>
  <c r="AN44" i="6"/>
  <c r="AM44" i="6"/>
  <c r="AL44" i="6"/>
  <c r="AK44" i="6"/>
  <c r="AO43" i="6"/>
  <c r="AN43" i="6"/>
  <c r="AM43" i="6"/>
  <c r="AL43" i="6"/>
  <c r="AK43" i="6"/>
  <c r="AP43" i="6" s="1"/>
  <c r="AO42" i="6"/>
  <c r="AN42" i="6"/>
  <c r="AM42" i="6"/>
  <c r="AL42" i="6"/>
  <c r="AK42" i="6"/>
  <c r="AP42" i="6" s="1"/>
  <c r="AP41" i="6"/>
  <c r="AO41" i="6"/>
  <c r="AN41" i="6"/>
  <c r="AM41" i="6"/>
  <c r="AL41" i="6"/>
  <c r="AK41" i="6"/>
  <c r="AO40" i="6"/>
  <c r="AN40" i="6"/>
  <c r="AM40" i="6"/>
  <c r="AL40" i="6"/>
  <c r="AK40" i="6"/>
  <c r="AO39" i="6"/>
  <c r="AN39" i="6"/>
  <c r="AM39" i="6"/>
  <c r="AL39" i="6"/>
  <c r="AK39" i="6"/>
  <c r="AP39" i="6" s="1"/>
  <c r="AP38" i="6"/>
  <c r="AO38" i="6"/>
  <c r="AN38" i="6"/>
  <c r="AM38" i="6"/>
  <c r="AL38" i="6"/>
  <c r="AK38" i="6"/>
  <c r="AO37" i="6"/>
  <c r="AN37" i="6"/>
  <c r="AM37" i="6"/>
  <c r="AL37" i="6"/>
  <c r="AK37" i="6"/>
  <c r="AP37" i="6" s="1"/>
  <c r="AO36" i="6"/>
  <c r="AN36" i="6"/>
  <c r="AM36" i="6"/>
  <c r="AL36" i="6"/>
  <c r="AK36" i="6"/>
  <c r="AP36" i="6" s="1"/>
  <c r="AP35" i="6"/>
  <c r="AO35" i="6"/>
  <c r="AN35" i="6"/>
  <c r="AM35" i="6"/>
  <c r="AL35" i="6"/>
  <c r="AK35" i="6"/>
  <c r="AO34" i="6"/>
  <c r="AN34" i="6"/>
  <c r="AM34" i="6"/>
  <c r="AL34" i="6"/>
  <c r="AK34" i="6"/>
  <c r="AP34" i="6" s="1"/>
  <c r="AO33" i="6"/>
  <c r="AN33" i="6"/>
  <c r="AM33" i="6"/>
  <c r="AL33" i="6"/>
  <c r="AK33" i="6"/>
  <c r="AP33" i="6" s="1"/>
  <c r="AP32" i="6"/>
  <c r="AO32" i="6"/>
  <c r="AN32" i="6"/>
  <c r="AM32" i="6"/>
  <c r="AL32" i="6"/>
  <c r="AK32" i="6"/>
  <c r="AO31" i="6"/>
  <c r="AN31" i="6"/>
  <c r="AM31" i="6"/>
  <c r="AL31" i="6"/>
  <c r="AK31" i="6"/>
  <c r="AO30" i="6"/>
  <c r="AN30" i="6"/>
  <c r="AM30" i="6"/>
  <c r="AL30" i="6"/>
  <c r="AK30" i="6"/>
  <c r="AP30" i="6" s="1"/>
  <c r="AP29" i="6"/>
  <c r="AO29" i="6"/>
  <c r="AN29" i="6"/>
  <c r="AM29" i="6"/>
  <c r="AL29" i="6"/>
  <c r="AK29" i="6"/>
  <c r="AO28" i="6"/>
  <c r="AN28" i="6"/>
  <c r="AM28" i="6"/>
  <c r="AL28" i="6"/>
  <c r="AK28" i="6"/>
  <c r="AO27" i="6"/>
  <c r="AN27" i="6"/>
  <c r="AM27" i="6"/>
  <c r="AL27" i="6"/>
  <c r="AK27" i="6"/>
  <c r="AP27" i="6" s="1"/>
  <c r="AP26" i="6"/>
  <c r="AO26" i="6"/>
  <c r="AN26" i="6"/>
  <c r="AM26" i="6"/>
  <c r="AL26" i="6"/>
  <c r="AK26" i="6"/>
  <c r="AO25" i="6"/>
  <c r="AN25" i="6"/>
  <c r="AM25" i="6"/>
  <c r="AL25" i="6"/>
  <c r="AK25" i="6"/>
  <c r="AP25" i="6" s="1"/>
  <c r="AO24" i="6"/>
  <c r="AN24" i="6"/>
  <c r="AM24" i="6"/>
  <c r="AL24" i="6"/>
  <c r="AK24" i="6"/>
  <c r="AP24" i="6" s="1"/>
  <c r="AP23" i="6"/>
  <c r="AO23" i="6"/>
  <c r="AN23" i="6"/>
  <c r="AM23" i="6"/>
  <c r="AL23" i="6"/>
  <c r="AK23" i="6"/>
  <c r="AO22" i="6"/>
  <c r="AN22" i="6"/>
  <c r="AM22" i="6"/>
  <c r="AL22" i="6"/>
  <c r="AK22" i="6"/>
  <c r="AP22" i="6" s="1"/>
  <c r="AP21" i="6"/>
  <c r="AO21" i="6"/>
  <c r="AN21" i="6"/>
  <c r="AM21" i="6"/>
  <c r="AL21" i="6"/>
  <c r="AK21" i="6"/>
  <c r="AP20" i="6"/>
  <c r="AO20" i="6"/>
  <c r="AN20" i="6"/>
  <c r="AM20" i="6"/>
  <c r="AL20" i="6"/>
  <c r="AK20" i="6"/>
  <c r="AO19" i="6"/>
  <c r="AN19" i="6"/>
  <c r="AM19" i="6"/>
  <c r="AL19" i="6"/>
  <c r="AK19" i="6"/>
  <c r="AP19" i="6" s="1"/>
  <c r="AP18" i="6"/>
  <c r="AO18" i="6"/>
  <c r="AN18" i="6"/>
  <c r="AM18" i="6"/>
  <c r="AL18" i="6"/>
  <c r="AK18" i="6"/>
  <c r="AP17" i="6"/>
  <c r="AO17" i="6"/>
  <c r="AN17" i="6"/>
  <c r="AM17" i="6"/>
  <c r="AL17" i="6"/>
  <c r="AK17" i="6"/>
  <c r="AO16" i="6"/>
  <c r="AN16" i="6"/>
  <c r="AM16" i="6"/>
  <c r="AL16" i="6"/>
  <c r="AK16" i="6"/>
  <c r="AP16" i="6" s="1"/>
  <c r="AP15" i="6"/>
  <c r="AO15" i="6"/>
  <c r="AN15" i="6"/>
  <c r="AM15" i="6"/>
  <c r="AL15" i="6"/>
  <c r="AK15" i="6"/>
  <c r="AP14" i="6"/>
  <c r="AO14" i="6"/>
  <c r="AN14" i="6"/>
  <c r="AM14" i="6"/>
  <c r="AL14" i="6"/>
  <c r="AK14" i="6"/>
  <c r="AO13" i="6"/>
  <c r="AN13" i="6"/>
  <c r="AM13" i="6"/>
  <c r="AL13" i="6"/>
  <c r="AK13" i="6"/>
  <c r="AP13" i="6" s="1"/>
  <c r="AP12" i="6"/>
  <c r="AO12" i="6"/>
  <c r="AN12" i="6"/>
  <c r="AM12" i="6"/>
  <c r="AL12" i="6"/>
  <c r="AK12" i="6"/>
  <c r="AP11" i="6"/>
  <c r="AO11" i="6"/>
  <c r="AN11" i="6"/>
  <c r="AM11" i="6"/>
  <c r="AL11" i="6"/>
  <c r="AK11" i="6"/>
  <c r="AO10" i="6"/>
  <c r="AN10" i="6"/>
  <c r="AM10" i="6"/>
  <c r="AL10" i="6"/>
  <c r="AK10" i="6"/>
  <c r="AP10" i="6" s="1"/>
  <c r="AO9" i="6"/>
  <c r="AN9" i="6"/>
  <c r="AM9" i="6"/>
  <c r="AL9" i="6"/>
  <c r="AP9" i="6" s="1"/>
  <c r="AK9" i="6"/>
  <c r="AP8" i="6"/>
  <c r="AO8" i="6"/>
  <c r="AN8" i="6"/>
  <c r="AM8" i="6"/>
  <c r="AL8" i="6"/>
  <c r="AK8" i="6"/>
  <c r="AO7" i="6"/>
  <c r="AN7" i="6"/>
  <c r="AM7" i="6"/>
  <c r="AL7" i="6"/>
  <c r="AK7" i="6"/>
  <c r="AP7" i="6" s="1"/>
  <c r="AO6" i="6"/>
  <c r="AN6" i="6"/>
  <c r="AM6" i="6"/>
  <c r="AL6" i="6"/>
  <c r="AK6" i="6"/>
  <c r="AP6" i="6" s="1"/>
  <c r="AP5" i="6"/>
  <c r="AO5" i="6"/>
  <c r="AN5" i="6"/>
  <c r="AM5" i="6"/>
  <c r="AL5" i="6"/>
  <c r="AK5" i="6"/>
  <c r="AO4" i="6"/>
  <c r="AN4" i="6"/>
  <c r="AM4" i="6"/>
  <c r="AL4" i="6"/>
  <c r="AK4" i="6"/>
  <c r="AP4" i="6" s="1"/>
  <c r="AO3" i="6"/>
  <c r="AN3" i="6"/>
  <c r="AM3" i="6"/>
  <c r="AL3" i="6"/>
  <c r="AK3" i="6"/>
  <c r="AP3" i="6" s="1"/>
  <c r="AP2" i="6"/>
  <c r="AO2" i="6"/>
  <c r="AN2" i="6"/>
  <c r="AM2" i="6"/>
  <c r="AL2" i="6"/>
  <c r="AK2" i="6"/>
  <c r="AQ10" i="5"/>
  <c r="AP10" i="5"/>
  <c r="AO10" i="5"/>
  <c r="AN10" i="5"/>
  <c r="AM10" i="5"/>
  <c r="AL10" i="5"/>
  <c r="AR10" i="5" s="1"/>
  <c r="AK10" i="5"/>
  <c r="AQ9" i="5"/>
  <c r="AP9" i="5"/>
  <c r="AO9" i="5"/>
  <c r="AN9" i="5"/>
  <c r="AR9" i="5" s="1"/>
  <c r="AM9" i="5"/>
  <c r="AL9" i="5"/>
  <c r="AK9" i="5"/>
  <c r="AQ8" i="5"/>
  <c r="AP8" i="5"/>
  <c r="AO8" i="5"/>
  <c r="AN8" i="5"/>
  <c r="AM8" i="5"/>
  <c r="AL8" i="5"/>
  <c r="AR8" i="5" s="1"/>
  <c r="AK8" i="5"/>
  <c r="AQ7" i="5"/>
  <c r="AP7" i="5"/>
  <c r="AO7" i="5"/>
  <c r="AN7" i="5"/>
  <c r="AM7" i="5"/>
  <c r="AL7" i="5"/>
  <c r="AR7" i="5" s="1"/>
  <c r="AK7" i="5"/>
  <c r="AQ6" i="5"/>
  <c r="AP6" i="5"/>
  <c r="AO6" i="5"/>
  <c r="AN6" i="5"/>
  <c r="AM6" i="5"/>
  <c r="AL6" i="5"/>
  <c r="AR6" i="5" s="1"/>
  <c r="AK6" i="5"/>
  <c r="AQ5" i="5"/>
  <c r="AP5" i="5"/>
  <c r="AO5" i="5"/>
  <c r="AN5" i="5"/>
  <c r="AM5" i="5"/>
  <c r="AL5" i="5"/>
  <c r="AR5" i="5" s="1"/>
  <c r="AK5" i="5"/>
  <c r="AR4" i="5"/>
  <c r="AQ4" i="5"/>
  <c r="AP4" i="5"/>
  <c r="AO4" i="5"/>
  <c r="AN4" i="5"/>
  <c r="AM4" i="5"/>
  <c r="AL4" i="5"/>
  <c r="AK4" i="5"/>
  <c r="AQ3" i="5"/>
  <c r="AP3" i="5"/>
  <c r="AO3" i="5"/>
  <c r="AN3" i="5"/>
  <c r="AM3" i="5"/>
  <c r="AL3" i="5"/>
  <c r="AR3" i="5" s="1"/>
  <c r="AK3" i="5"/>
  <c r="AP10" i="4"/>
  <c r="AO10" i="4"/>
  <c r="AN10" i="4"/>
  <c r="AQ10" i="4" s="1"/>
  <c r="AM10" i="4"/>
  <c r="AL10" i="4"/>
  <c r="AK10" i="4"/>
  <c r="AJ10" i="4"/>
  <c r="AP9" i="4"/>
  <c r="AO9" i="4"/>
  <c r="AN9" i="4"/>
  <c r="AM9" i="4"/>
  <c r="AL9" i="4"/>
  <c r="AK9" i="4"/>
  <c r="AQ9" i="4" s="1"/>
  <c r="AJ9" i="4"/>
  <c r="AP8" i="4"/>
  <c r="AO8" i="4"/>
  <c r="AN8" i="4"/>
  <c r="AM8" i="4"/>
  <c r="AQ8" i="4" s="1"/>
  <c r="AL8" i="4"/>
  <c r="AK8" i="4"/>
  <c r="AJ8" i="4"/>
  <c r="AP7" i="4"/>
  <c r="AO7" i="4"/>
  <c r="AN7" i="4"/>
  <c r="AM7" i="4"/>
  <c r="AL7" i="4"/>
  <c r="AK7" i="4"/>
  <c r="AQ7" i="4" s="1"/>
  <c r="AJ7" i="4"/>
  <c r="AP6" i="4"/>
  <c r="AO6" i="4"/>
  <c r="AN6" i="4"/>
  <c r="AM6" i="4"/>
  <c r="AL6" i="4"/>
  <c r="AK6" i="4"/>
  <c r="AQ6" i="4" s="1"/>
  <c r="AJ6" i="4"/>
  <c r="AP5" i="4"/>
  <c r="AO5" i="4"/>
  <c r="AN5" i="4"/>
  <c r="AM5" i="4"/>
  <c r="AL5" i="4"/>
  <c r="AK5" i="4"/>
  <c r="AQ5" i="4" s="1"/>
  <c r="AJ5" i="4"/>
  <c r="AP4" i="4"/>
  <c r="AO4" i="4"/>
  <c r="AN4" i="4"/>
  <c r="AM4" i="4"/>
  <c r="AL4" i="4"/>
  <c r="AK4" i="4"/>
  <c r="AQ4" i="4" s="1"/>
  <c r="AJ4" i="4"/>
  <c r="AQ3" i="4"/>
  <c r="AP3" i="4"/>
  <c r="AO3" i="4"/>
  <c r="AN3" i="4"/>
  <c r="AM3" i="4"/>
  <c r="AL3" i="4"/>
  <c r="AK3" i="4"/>
  <c r="AJ3" i="4"/>
  <c r="AQ10" i="3"/>
  <c r="AP10" i="3"/>
  <c r="AO10" i="3"/>
  <c r="AN10" i="3"/>
  <c r="AM10" i="3"/>
  <c r="AL10" i="3"/>
  <c r="AR10" i="3" s="1"/>
  <c r="AK10" i="3"/>
  <c r="AQ9" i="3"/>
  <c r="AP9" i="3"/>
  <c r="AO9" i="3"/>
  <c r="AR9" i="3" s="1"/>
  <c r="AN9" i="3"/>
  <c r="AM9" i="3"/>
  <c r="AL9" i="3"/>
  <c r="AK9" i="3"/>
  <c r="AQ8" i="3"/>
  <c r="AP8" i="3"/>
  <c r="AO8" i="3"/>
  <c r="AN8" i="3"/>
  <c r="AM8" i="3"/>
  <c r="AL8" i="3"/>
  <c r="AK8" i="3"/>
  <c r="AQ7" i="3"/>
  <c r="AP7" i="3"/>
  <c r="AO7" i="3"/>
  <c r="AN7" i="3"/>
  <c r="AR7" i="3" s="1"/>
  <c r="AM7" i="3"/>
  <c r="AL7" i="3"/>
  <c r="AK7" i="3"/>
  <c r="AQ6" i="3"/>
  <c r="AP6" i="3"/>
  <c r="AO6" i="3"/>
  <c r="AN6" i="3"/>
  <c r="AM6" i="3"/>
  <c r="AL6" i="3"/>
  <c r="AR6" i="3" s="1"/>
  <c r="AK6" i="3"/>
  <c r="AQ5" i="3"/>
  <c r="AP5" i="3"/>
  <c r="AO5" i="3"/>
  <c r="AN5" i="3"/>
  <c r="AM5" i="3"/>
  <c r="AL5" i="3"/>
  <c r="AR5" i="3" s="1"/>
  <c r="AK5" i="3"/>
  <c r="AQ4" i="3"/>
  <c r="AP4" i="3"/>
  <c r="AO4" i="3"/>
  <c r="AN4" i="3"/>
  <c r="AM4" i="3"/>
  <c r="AL4" i="3"/>
  <c r="AR4" i="3" s="1"/>
  <c r="AK4" i="3"/>
  <c r="AR3" i="3"/>
  <c r="AQ3" i="3"/>
  <c r="AP3" i="3"/>
  <c r="AO3" i="3"/>
  <c r="AN3" i="3"/>
  <c r="AM3" i="3"/>
  <c r="AL3" i="3"/>
  <c r="AK3" i="3"/>
  <c r="AP49" i="2"/>
  <c r="AO49" i="2"/>
  <c r="AN49" i="2"/>
  <c r="AM49" i="2"/>
  <c r="AL49" i="2"/>
  <c r="AK49" i="2"/>
  <c r="AO48" i="2"/>
  <c r="AN48" i="2"/>
  <c r="AM48" i="2"/>
  <c r="AL48" i="2"/>
  <c r="AK48" i="2"/>
  <c r="AP48" i="2" s="1"/>
  <c r="AP47" i="2"/>
  <c r="AO47" i="2"/>
  <c r="AN47" i="2"/>
  <c r="AM47" i="2"/>
  <c r="AL47" i="2"/>
  <c r="AK47" i="2"/>
  <c r="AP46" i="2"/>
  <c r="AO46" i="2"/>
  <c r="AN46" i="2"/>
  <c r="AM46" i="2"/>
  <c r="AL46" i="2"/>
  <c r="AK46" i="2"/>
  <c r="AO45" i="2"/>
  <c r="AN45" i="2"/>
  <c r="AM45" i="2"/>
  <c r="AL45" i="2"/>
  <c r="AK45" i="2"/>
  <c r="AP45" i="2" s="1"/>
  <c r="AP44" i="2"/>
  <c r="AO44" i="2"/>
  <c r="AN44" i="2"/>
  <c r="AM44" i="2"/>
  <c r="AL44" i="2"/>
  <c r="AK44" i="2"/>
  <c r="AP43" i="2"/>
  <c r="AO43" i="2"/>
  <c r="AN43" i="2"/>
  <c r="AM43" i="2"/>
  <c r="AL43" i="2"/>
  <c r="AK43" i="2"/>
  <c r="AO42" i="2"/>
  <c r="AN42" i="2"/>
  <c r="AM42" i="2"/>
  <c r="AL42" i="2"/>
  <c r="AK42" i="2"/>
  <c r="AP42" i="2" s="1"/>
  <c r="AP41" i="2"/>
  <c r="AO41" i="2"/>
  <c r="AN41" i="2"/>
  <c r="AM41" i="2"/>
  <c r="AL41" i="2"/>
  <c r="AK41" i="2"/>
  <c r="AP40" i="2"/>
  <c r="AO40" i="2"/>
  <c r="AN40" i="2"/>
  <c r="AM40" i="2"/>
  <c r="AL40" i="2"/>
  <c r="AK40" i="2"/>
  <c r="AO39" i="2"/>
  <c r="AN39" i="2"/>
  <c r="AM39" i="2"/>
  <c r="AL39" i="2"/>
  <c r="AK39" i="2"/>
  <c r="AP39" i="2" s="1"/>
  <c r="AP38" i="2"/>
  <c r="AO38" i="2"/>
  <c r="AN38" i="2"/>
  <c r="AM38" i="2"/>
  <c r="AL38" i="2"/>
  <c r="AK38" i="2"/>
  <c r="AP37" i="2"/>
  <c r="AO37" i="2"/>
  <c r="AN37" i="2"/>
  <c r="AM37" i="2"/>
  <c r="AL37" i="2"/>
  <c r="AK37" i="2"/>
  <c r="AO36" i="2"/>
  <c r="AN36" i="2"/>
  <c r="AM36" i="2"/>
  <c r="AL36" i="2"/>
  <c r="AK36" i="2"/>
  <c r="AP36" i="2" s="1"/>
  <c r="AO35" i="2"/>
  <c r="AN35" i="2"/>
  <c r="AM35" i="2"/>
  <c r="AL35" i="2"/>
  <c r="AP35" i="2" s="1"/>
  <c r="AK35" i="2"/>
  <c r="AP34" i="2"/>
  <c r="AO34" i="2"/>
  <c r="AN34" i="2"/>
  <c r="AM34" i="2"/>
  <c r="AL34" i="2"/>
  <c r="AK34" i="2"/>
  <c r="AO33" i="2"/>
  <c r="AN33" i="2"/>
  <c r="AM33" i="2"/>
  <c r="AL33" i="2"/>
  <c r="AK33" i="2"/>
  <c r="AP33" i="2" s="1"/>
  <c r="AO32" i="2"/>
  <c r="AN32" i="2"/>
  <c r="AM32" i="2"/>
  <c r="AL32" i="2"/>
  <c r="AK32" i="2"/>
  <c r="AP32" i="2" s="1"/>
  <c r="AP31" i="2"/>
  <c r="AO31" i="2"/>
  <c r="AN31" i="2"/>
  <c r="AM31" i="2"/>
  <c r="AL31" i="2"/>
  <c r="AK31" i="2"/>
  <c r="AO30" i="2"/>
  <c r="AN30" i="2"/>
  <c r="AM30" i="2"/>
  <c r="AL30" i="2"/>
  <c r="AK30" i="2"/>
  <c r="AP30" i="2" s="1"/>
  <c r="AO29" i="2"/>
  <c r="AN29" i="2"/>
  <c r="AM29" i="2"/>
  <c r="AL29" i="2"/>
  <c r="AK29" i="2"/>
  <c r="AP29" i="2" s="1"/>
  <c r="AP28" i="2"/>
  <c r="AO28" i="2"/>
  <c r="AN28" i="2"/>
  <c r="AM28" i="2"/>
  <c r="AL28" i="2"/>
  <c r="AK28" i="2"/>
  <c r="AO27" i="2"/>
  <c r="AN27" i="2"/>
  <c r="AM27" i="2"/>
  <c r="AL27" i="2"/>
  <c r="AK27" i="2"/>
  <c r="AP27" i="2" s="1"/>
  <c r="AO26" i="2"/>
  <c r="AN26" i="2"/>
  <c r="AM26" i="2"/>
  <c r="AL26" i="2"/>
  <c r="AK26" i="2"/>
  <c r="AP26" i="2" s="1"/>
  <c r="AP25" i="2"/>
  <c r="AO25" i="2"/>
  <c r="AN25" i="2"/>
  <c r="AM25" i="2"/>
  <c r="AL25" i="2"/>
  <c r="AK25" i="2"/>
  <c r="AO24" i="2"/>
  <c r="AN24" i="2"/>
  <c r="AM24" i="2"/>
  <c r="AL24" i="2"/>
  <c r="AK24" i="2"/>
  <c r="AP24" i="2" s="1"/>
  <c r="AO23" i="2"/>
  <c r="AN23" i="2"/>
  <c r="AM23" i="2"/>
  <c r="AL23" i="2"/>
  <c r="AK23" i="2"/>
  <c r="AP23" i="2" s="1"/>
  <c r="AP22" i="2"/>
  <c r="AO22" i="2"/>
  <c r="AN22" i="2"/>
  <c r="AM22" i="2"/>
  <c r="AL22" i="2"/>
  <c r="AK22" i="2"/>
  <c r="AO21" i="2"/>
  <c r="AN21" i="2"/>
  <c r="AM21" i="2"/>
  <c r="AL21" i="2"/>
  <c r="AK21" i="2"/>
  <c r="AP21" i="2" s="1"/>
  <c r="AO20" i="2"/>
  <c r="AN20" i="2"/>
  <c r="AM20" i="2"/>
  <c r="AL20" i="2"/>
  <c r="AK20" i="2"/>
  <c r="AP20" i="2" s="1"/>
  <c r="AP19" i="2"/>
  <c r="AO19" i="2"/>
  <c r="AN19" i="2"/>
  <c r="AM19" i="2"/>
  <c r="AL19" i="2"/>
  <c r="AK19" i="2"/>
  <c r="AO18" i="2"/>
  <c r="AN18" i="2"/>
  <c r="AM18" i="2"/>
  <c r="AL18" i="2"/>
  <c r="AK18" i="2"/>
  <c r="AP18" i="2" s="1"/>
  <c r="AO17" i="2"/>
  <c r="AN17" i="2"/>
  <c r="AM17" i="2"/>
  <c r="AL17" i="2"/>
  <c r="AK17" i="2"/>
  <c r="AP17" i="2" s="1"/>
  <c r="AP16" i="2"/>
  <c r="AO16" i="2"/>
  <c r="AN16" i="2"/>
  <c r="AM16" i="2"/>
  <c r="AL16" i="2"/>
  <c r="AK16" i="2"/>
  <c r="AO15" i="2"/>
  <c r="AN15" i="2"/>
  <c r="AM15" i="2"/>
  <c r="AL15" i="2"/>
  <c r="AK15" i="2"/>
  <c r="AP15" i="2" s="1"/>
  <c r="AO14" i="2"/>
  <c r="AN14" i="2"/>
  <c r="AM14" i="2"/>
  <c r="AL14" i="2"/>
  <c r="AK14" i="2"/>
  <c r="AP14" i="2" s="1"/>
  <c r="AP13" i="2"/>
  <c r="AO13" i="2"/>
  <c r="AN13" i="2"/>
  <c r="AM13" i="2"/>
  <c r="AL13" i="2"/>
  <c r="AK13" i="2"/>
  <c r="AO12" i="2"/>
  <c r="AN12" i="2"/>
  <c r="AM12" i="2"/>
  <c r="AL12" i="2"/>
  <c r="AK12" i="2"/>
  <c r="AO11" i="2"/>
  <c r="AN11" i="2"/>
  <c r="AM11" i="2"/>
  <c r="AL11" i="2"/>
  <c r="AK11" i="2"/>
  <c r="AP11" i="2" s="1"/>
  <c r="AP10" i="2"/>
  <c r="AO10" i="2"/>
  <c r="AN10" i="2"/>
  <c r="AM10" i="2"/>
  <c r="AL10" i="2"/>
  <c r="AK10" i="2"/>
  <c r="AO9" i="2"/>
  <c r="AN9" i="2"/>
  <c r="AM9" i="2"/>
  <c r="AL9" i="2"/>
  <c r="AK9" i="2"/>
  <c r="AP9" i="2" s="1"/>
  <c r="AO8" i="2"/>
  <c r="AN8" i="2"/>
  <c r="AM8" i="2"/>
  <c r="AL8" i="2"/>
  <c r="AK8" i="2"/>
  <c r="AP8" i="2" s="1"/>
  <c r="AP7" i="2"/>
  <c r="AO7" i="2"/>
  <c r="AN7" i="2"/>
  <c r="AM7" i="2"/>
  <c r="AL7" i="2"/>
  <c r="AK7" i="2"/>
  <c r="AO6" i="2"/>
  <c r="AN6" i="2"/>
  <c r="AM6" i="2"/>
  <c r="AL6" i="2"/>
  <c r="AK6" i="2"/>
  <c r="AP6" i="2" s="1"/>
  <c r="AO5" i="2"/>
  <c r="AN5" i="2"/>
  <c r="AM5" i="2"/>
  <c r="AL5" i="2"/>
  <c r="AK5" i="2"/>
  <c r="AP5" i="2" s="1"/>
  <c r="AP4" i="2"/>
  <c r="AO4" i="2"/>
  <c r="AN4" i="2"/>
  <c r="AM4" i="2"/>
  <c r="AL4" i="2"/>
  <c r="AK4" i="2"/>
  <c r="AO3" i="2"/>
  <c r="AN3" i="2"/>
  <c r="AM3" i="2"/>
  <c r="AL3" i="2"/>
  <c r="AK3" i="2"/>
  <c r="AO2" i="2"/>
  <c r="AN2" i="2"/>
  <c r="AM2" i="2"/>
  <c r="AL2" i="2"/>
  <c r="AK2" i="2"/>
  <c r="AP2" i="2" s="1"/>
  <c r="AP9" i="1"/>
  <c r="AO9" i="1"/>
  <c r="AN9" i="1"/>
  <c r="AM9" i="1"/>
  <c r="AL9" i="1"/>
  <c r="AK9" i="1"/>
  <c r="AO8" i="1"/>
  <c r="AN8" i="1"/>
  <c r="AM8" i="1"/>
  <c r="AL8" i="1"/>
  <c r="AK8" i="1"/>
  <c r="AO7" i="1"/>
  <c r="AN7" i="1"/>
  <c r="AM7" i="1"/>
  <c r="AL7" i="1"/>
  <c r="AK7" i="1"/>
  <c r="AP7" i="1" s="1"/>
  <c r="AP6" i="1"/>
  <c r="AO6" i="1"/>
  <c r="AN6" i="1"/>
  <c r="AM6" i="1"/>
  <c r="AL6" i="1"/>
  <c r="AK6" i="1"/>
  <c r="AO5" i="1"/>
  <c r="AN5" i="1"/>
  <c r="AM5" i="1"/>
  <c r="AL5" i="1"/>
  <c r="AK5" i="1"/>
  <c r="AP5" i="1" s="1"/>
  <c r="AO4" i="1"/>
  <c r="AN4" i="1"/>
  <c r="AM4" i="1"/>
  <c r="AL4" i="1"/>
  <c r="AK4" i="1"/>
  <c r="AP4" i="1" s="1"/>
  <c r="AP3" i="1"/>
  <c r="AO3" i="1"/>
  <c r="AN3" i="1"/>
  <c r="AM3" i="1"/>
  <c r="AL3" i="1"/>
  <c r="AK3" i="1"/>
  <c r="AO2" i="1"/>
  <c r="AN2" i="1"/>
  <c r="AM2" i="1"/>
  <c r="AL2" i="1"/>
  <c r="AK2" i="1"/>
  <c r="AP2" i="1" s="1"/>
  <c r="AP12" i="2" l="1"/>
  <c r="AP40" i="6"/>
  <c r="AP43" i="7"/>
  <c r="AP4" i="9"/>
  <c r="AP13" i="10"/>
  <c r="AP29" i="11"/>
  <c r="AP35" i="12"/>
  <c r="AR8" i="3"/>
  <c r="AP3" i="2"/>
  <c r="AP31" i="6"/>
  <c r="AP37" i="7"/>
  <c r="AP33" i="8"/>
  <c r="AP17" i="10"/>
  <c r="AP16" i="11"/>
  <c r="AP8" i="1"/>
  <c r="AP28" i="6"/>
  <c r="AP34" i="7"/>
  <c r="AP46" i="8"/>
  <c r="AP7" i="10"/>
  <c r="AP16" i="8"/>
  <c r="AP22" i="9"/>
  <c r="AP28" i="10"/>
  <c r="AP34" i="11"/>
  <c r="AP40" i="12"/>
</calcChain>
</file>

<file path=xl/sharedStrings.xml><?xml version="1.0" encoding="utf-8"?>
<sst xmlns="http://schemas.openxmlformats.org/spreadsheetml/2006/main" count="1675" uniqueCount="91">
  <si>
    <t>Emp No</t>
  </si>
  <si>
    <t>Employee Name</t>
  </si>
  <si>
    <t>Designation</t>
  </si>
  <si>
    <t>Salary</t>
  </si>
  <si>
    <t>Date of Joining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</si>
  <si>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</si>
  <si>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</si>
  <si>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</si>
  <si>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</si>
  <si>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</si>
  <si>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</si>
  <si>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</si>
  <si>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</si>
  <si>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</si>
  <si>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</si>
  <si>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</si>
  <si>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</si>
  <si>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</si>
  <si>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</si>
  <si>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</si>
  <si>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</si>
  <si>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</si>
  <si>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</si>
  <si>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</si>
  <si>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</si>
  <si>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</si>
  <si>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</si>
  <si>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</si>
  <si>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</si>
  <si>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</si>
  <si>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</si>
  <si>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</si>
  <si>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</si>
  <si>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</si>
  <si>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</si>
  <si>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</si>
  <si>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Total Working Days</t>
  </si>
  <si>
    <t>Present Days</t>
  </si>
  <si>
    <t>CL</t>
  </si>
  <si>
    <t>Sick Leave</t>
  </si>
  <si>
    <t>LOP</t>
  </si>
  <si>
    <t>Net Payable</t>
  </si>
  <si>
    <t>EMPSI01</t>
  </si>
  <si>
    <t xml:space="preserve">Srinivas </t>
  </si>
  <si>
    <t>CEO</t>
  </si>
  <si>
    <t>21-06-2017</t>
  </si>
  <si>
    <t>EMPSI02</t>
  </si>
  <si>
    <t xml:space="preserve">Jyothi </t>
  </si>
  <si>
    <t>CCO</t>
  </si>
  <si>
    <t>EMPSI03</t>
  </si>
  <si>
    <t>Sowmya</t>
  </si>
  <si>
    <t>Web Developer</t>
  </si>
  <si>
    <t>22-06-2023</t>
  </si>
  <si>
    <t>EMPSI04</t>
  </si>
  <si>
    <t>Naveen Kumar</t>
  </si>
  <si>
    <t>Head Of Operations</t>
  </si>
  <si>
    <t>EMPSI05</t>
  </si>
  <si>
    <t>Nikki</t>
  </si>
  <si>
    <t>Digital Marketing Lead</t>
  </si>
  <si>
    <t>EMPSI06</t>
  </si>
  <si>
    <t xml:space="preserve">Mavuri Anand Kumar </t>
  </si>
  <si>
    <t>Video Editor</t>
  </si>
  <si>
    <t>EMPSI07</t>
  </si>
  <si>
    <t>Riya Biswas Dasgupta</t>
  </si>
  <si>
    <t>Sr.Graphic Designer</t>
  </si>
  <si>
    <t>EMPSI08</t>
  </si>
  <si>
    <t xml:space="preserve">Adarsh </t>
  </si>
  <si>
    <t>SEO</t>
  </si>
  <si>
    <t>Holidays</t>
  </si>
  <si>
    <t>Sundays</t>
  </si>
  <si>
    <t>Sunday</t>
  </si>
  <si>
    <t>Monday</t>
  </si>
  <si>
    <t>Tuesday</t>
  </si>
  <si>
    <t>Wednesday</t>
  </si>
  <si>
    <t>Thursday</t>
  </si>
  <si>
    <t>Friday</t>
  </si>
  <si>
    <t>Saturday</t>
  </si>
  <si>
    <t>S</t>
  </si>
  <si>
    <t>P</t>
  </si>
  <si>
    <t>H</t>
  </si>
  <si>
    <t>SL</t>
  </si>
  <si>
    <t>A</t>
  </si>
  <si>
    <t>Wed</t>
  </si>
  <si>
    <t>Thu</t>
  </si>
  <si>
    <t>Fri</t>
  </si>
  <si>
    <t>Sat</t>
  </si>
  <si>
    <t>Sun</t>
  </si>
  <si>
    <t>Mon</t>
  </si>
  <si>
    <t>Tue</t>
  </si>
  <si>
    <t xml:space="preserve">HD 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</si>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</sst>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Calibri"/>
    </font>
    <font>
      <b/>
      <sz val="11"/>
      <color theme="1"/>
      <name val="Arial"/>
    </font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164" fontId="3" fillId="0" borderId="1" xfId="0" applyNumberFormat="1" applyFont="1" applyBorder="1" applyAlignment="1">
      <alignment horizontal="center"/>
    </xf>
    <xf numFmtId="164" fontId="5" fillId="0" borderId="0" xfId="0" applyNumberFormat="1" applyFont="1"/>
    <xf numFmtId="0" fontId="2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5" fillId="0" borderId="0" xfId="0" applyNumberFormat="1" applyFont="1"/>
    <xf numFmtId="0" fontId="1" fillId="2" borderId="1" xfId="0" applyFont="1" applyFill="1" applyBorder="1"/>
    <xf numFmtId="0" fontId="5" fillId="2" borderId="0" xfId="0" applyFont="1" applyFill="1"/>
    <xf numFmtId="0" fontId="5" fillId="0" borderId="1" xfId="0" applyFont="1" applyBorder="1"/>
    <xf numFmtId="165" fontId="4" fillId="0" borderId="1" xfId="0" applyNumberFormat="1" applyFont="1" applyBorder="1" applyAlignment="1">
      <alignment horizontal="center"/>
    </xf>
    <xf numFmtId="0" fontId="7" fillId="0" borderId="1" xfId="0" applyFont="1" applyBorder="1"/>
    <xf numFmtId="165" fontId="2" fillId="0" borderId="1" xfId="0" applyNumberFormat="1" applyFont="1" applyBorder="1" applyAlignment="1">
      <alignment horizontal="center"/>
    </xf>
    <xf numFmtId="0" fontId="1" fillId="2" borderId="2" xfId="0" applyFont="1" applyFill="1" applyBorder="1"/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0"/>
  <sheetViews>
    <sheetView workbookViewId="0"/>
  </sheetViews>
  <sheetFormatPr defaultColWidth="14.453125" defaultRowHeight="15" customHeight="1" x14ac:dyDescent="0.35"/>
  <cols>
    <col min="1" max="1" width="17" customWidth="1"/>
    <col min="2" max="2" width="24.26953125" customWidth="1"/>
    <col min="3" max="3" width="23.08984375" customWidth="1"/>
    <col min="4" max="4" width="12.26953125" customWidth="1"/>
    <col min="5" max="5" width="18.26953125" customWidth="1"/>
    <col min="6" max="42" width="8.7265625" customWidth="1"/>
  </cols>
  <sheetData>
    <row r="1" spans="1:4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5" x14ac:dyDescent="0.35">
      <c r="A2" s="2" t="s">
        <v>42</v>
      </c>
      <c r="B2" s="2" t="s">
        <v>43</v>
      </c>
      <c r="C2" s="2" t="s">
        <v>44</v>
      </c>
      <c r="D2" s="3" t="s">
        <v>45</v>
      </c>
      <c r="E2" s="4">
        <v>100000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f t="shared" ref="AK2:AK9" si="0">COUNTIF(F2:AJ2,"&lt;&gt;H")</f>
        <v>31</v>
      </c>
      <c r="AL2" s="5">
        <f t="shared" ref="AL2:AL9" si="1">COUNTIF(F2:AJ2,"P")</f>
        <v>0</v>
      </c>
      <c r="AM2" s="5">
        <f t="shared" ref="AM2:AM9" si="2">COUNTIF(F2:AJ2,"CL")</f>
        <v>0</v>
      </c>
      <c r="AN2" s="5">
        <f t="shared" ref="AN2:AN9" si="3">COUNTIF(F2:AJ2,"SL")</f>
        <v>0</v>
      </c>
      <c r="AO2" s="5">
        <f t="shared" ref="AO2:AO9" si="4">COUNTIF(F2:AJ2,"A")</f>
        <v>0</v>
      </c>
      <c r="AP2" s="5">
        <f t="shared" ref="AP2:AP9" si="5">(D2/AK2)*AL2</f>
        <v>0</v>
      </c>
    </row>
    <row r="3" spans="1:42" ht="14.5" x14ac:dyDescent="0.35">
      <c r="A3" s="2" t="s">
        <v>46</v>
      </c>
      <c r="B3" s="2" t="s">
        <v>47</v>
      </c>
      <c r="C3" s="2" t="s">
        <v>48</v>
      </c>
      <c r="D3" s="6">
        <v>45051</v>
      </c>
      <c r="E3" s="4">
        <v>15000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f t="shared" si="0"/>
        <v>31</v>
      </c>
      <c r="AL3" s="5">
        <f t="shared" si="1"/>
        <v>0</v>
      </c>
      <c r="AM3" s="5">
        <f t="shared" si="2"/>
        <v>0</v>
      </c>
      <c r="AN3" s="5">
        <f t="shared" si="3"/>
        <v>0</v>
      </c>
      <c r="AO3" s="5">
        <f t="shared" si="4"/>
        <v>0</v>
      </c>
      <c r="AP3" s="7">
        <f t="shared" si="5"/>
        <v>0</v>
      </c>
    </row>
    <row r="4" spans="1:42" ht="14.5" x14ac:dyDescent="0.35">
      <c r="A4" s="2" t="s">
        <v>49</v>
      </c>
      <c r="B4" s="2" t="s">
        <v>50</v>
      </c>
      <c r="C4" s="2" t="s">
        <v>51</v>
      </c>
      <c r="D4" s="3" t="s">
        <v>52</v>
      </c>
      <c r="E4" s="4">
        <v>25000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f t="shared" si="0"/>
        <v>31</v>
      </c>
      <c r="AL4" s="5">
        <f t="shared" si="1"/>
        <v>0</v>
      </c>
      <c r="AM4" s="5">
        <f t="shared" si="2"/>
        <v>0</v>
      </c>
      <c r="AN4" s="5">
        <f t="shared" si="3"/>
        <v>0</v>
      </c>
      <c r="AO4" s="5">
        <f t="shared" si="4"/>
        <v>0</v>
      </c>
      <c r="AP4" s="5">
        <f t="shared" si="5"/>
        <v>0</v>
      </c>
    </row>
    <row r="5" spans="1:42" ht="14.5" x14ac:dyDescent="0.35">
      <c r="A5" s="2" t="s">
        <v>53</v>
      </c>
      <c r="B5" s="2" t="s">
        <v>54</v>
      </c>
      <c r="C5" s="2" t="s">
        <v>55</v>
      </c>
      <c r="D5" s="6">
        <v>45658</v>
      </c>
      <c r="E5" s="4">
        <v>50000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f t="shared" si="0"/>
        <v>31</v>
      </c>
      <c r="AL5" s="5">
        <f t="shared" si="1"/>
        <v>0</v>
      </c>
      <c r="AM5" s="5">
        <f t="shared" si="2"/>
        <v>0</v>
      </c>
      <c r="AN5" s="5">
        <f t="shared" si="3"/>
        <v>0</v>
      </c>
      <c r="AO5" s="5">
        <f t="shared" si="4"/>
        <v>0</v>
      </c>
      <c r="AP5" s="7">
        <f t="shared" si="5"/>
        <v>0</v>
      </c>
    </row>
    <row r="6" spans="1:42" ht="14.5" x14ac:dyDescent="0.35">
      <c r="A6" s="2" t="s">
        <v>56</v>
      </c>
      <c r="B6" s="2" t="s">
        <v>57</v>
      </c>
      <c r="C6" s="2" t="s">
        <v>58</v>
      </c>
      <c r="D6" s="6">
        <v>45994</v>
      </c>
      <c r="E6" s="4">
        <v>40000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f t="shared" si="0"/>
        <v>31</v>
      </c>
      <c r="AL6" s="5">
        <f t="shared" si="1"/>
        <v>0</v>
      </c>
      <c r="AM6" s="5">
        <f t="shared" si="2"/>
        <v>0</v>
      </c>
      <c r="AN6" s="5">
        <f t="shared" si="3"/>
        <v>0</v>
      </c>
      <c r="AO6" s="5">
        <f t="shared" si="4"/>
        <v>0</v>
      </c>
      <c r="AP6" s="7">
        <f t="shared" si="5"/>
        <v>0</v>
      </c>
    </row>
    <row r="7" spans="1:42" ht="14.5" x14ac:dyDescent="0.35">
      <c r="A7" s="2" t="s">
        <v>59</v>
      </c>
      <c r="B7" s="2" t="s">
        <v>60</v>
      </c>
      <c r="C7" s="2" t="s">
        <v>61</v>
      </c>
      <c r="D7" s="6">
        <v>46000</v>
      </c>
      <c r="E7" s="4">
        <v>10000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f t="shared" si="0"/>
        <v>31</v>
      </c>
      <c r="AL7" s="5">
        <f t="shared" si="1"/>
        <v>0</v>
      </c>
      <c r="AM7" s="5">
        <f t="shared" si="2"/>
        <v>0</v>
      </c>
      <c r="AN7" s="5">
        <f t="shared" si="3"/>
        <v>0</v>
      </c>
      <c r="AO7" s="5">
        <f t="shared" si="4"/>
        <v>0</v>
      </c>
      <c r="AP7" s="7">
        <f t="shared" si="5"/>
        <v>0</v>
      </c>
    </row>
    <row r="8" spans="1:42" ht="14.5" x14ac:dyDescent="0.35">
      <c r="A8" s="2" t="s">
        <v>62</v>
      </c>
      <c r="B8" s="2" t="s">
        <v>63</v>
      </c>
      <c r="C8" s="2" t="s">
        <v>64</v>
      </c>
      <c r="D8" s="6">
        <v>45818</v>
      </c>
      <c r="E8" s="4">
        <v>40000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f t="shared" si="0"/>
        <v>31</v>
      </c>
      <c r="AL8" s="5">
        <f t="shared" si="1"/>
        <v>0</v>
      </c>
      <c r="AM8" s="5">
        <f t="shared" si="2"/>
        <v>0</v>
      </c>
      <c r="AN8" s="5">
        <f t="shared" si="3"/>
        <v>0</v>
      </c>
      <c r="AO8" s="5">
        <f t="shared" si="4"/>
        <v>0</v>
      </c>
      <c r="AP8" s="7">
        <f t="shared" si="5"/>
        <v>0</v>
      </c>
    </row>
    <row r="9" spans="1:42" ht="14.5" x14ac:dyDescent="0.35">
      <c r="A9" s="8" t="s">
        <v>65</v>
      </c>
      <c r="B9" s="8" t="s">
        <v>66</v>
      </c>
      <c r="C9" s="8" t="s">
        <v>67</v>
      </c>
      <c r="D9" s="9">
        <v>45881</v>
      </c>
      <c r="E9" s="10">
        <v>12000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f t="shared" si="0"/>
        <v>31</v>
      </c>
      <c r="AL9" s="5">
        <f t="shared" si="1"/>
        <v>0</v>
      </c>
      <c r="AM9" s="5">
        <f t="shared" si="2"/>
        <v>0</v>
      </c>
      <c r="AN9" s="5">
        <f t="shared" si="3"/>
        <v>0</v>
      </c>
      <c r="AO9" s="5">
        <f t="shared" si="4"/>
        <v>0</v>
      </c>
      <c r="AP9" s="11">
        <f t="shared" si="5"/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1">
    <dataValidation type="list" allowBlank="1" sqref="F2:AJ9" xr:uid="{00000000-0002-0000-0000-000000000000}">
      <formula1>"P,A,H,CL,SL"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00"/>
  <sheetViews>
    <sheetView workbookViewId="0"/>
  </sheetViews>
  <sheetFormatPr defaultColWidth="14.453125" defaultRowHeight="15" customHeight="1" x14ac:dyDescent="0.35"/>
  <cols>
    <col min="1" max="42" width="8.7265625" customWidth="1"/>
  </cols>
  <sheetData>
    <row r="1" spans="1:4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5" x14ac:dyDescent="0.35"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f t="shared" ref="AK2:AK49" si="0">COUNTIF(F2:AJ2,"&lt;&gt;H")</f>
        <v>31</v>
      </c>
      <c r="AL2" s="5">
        <f t="shared" ref="AL2:AL49" si="1">COUNTIF(F2:AJ2,"P")</f>
        <v>0</v>
      </c>
      <c r="AM2" s="5">
        <f t="shared" ref="AM2:AM49" si="2">COUNTIF(F2:AJ2,"CL")</f>
        <v>0</v>
      </c>
      <c r="AN2" s="5">
        <f t="shared" ref="AN2:AN49" si="3">COUNTIF(F2:AJ2,"SL")</f>
        <v>0</v>
      </c>
      <c r="AO2" s="5">
        <f t="shared" ref="AO2:AO49" si="4">COUNTIF(F2:AJ2,"A")</f>
        <v>0</v>
      </c>
      <c r="AP2" s="5">
        <f t="shared" ref="AP2:AP49" si="5">(D2/AK2)*AL2</f>
        <v>0</v>
      </c>
    </row>
    <row r="3" spans="1:42" ht="14.5" x14ac:dyDescent="0.35"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f t="shared" si="0"/>
        <v>31</v>
      </c>
      <c r="AL3" s="5">
        <f t="shared" si="1"/>
        <v>0</v>
      </c>
      <c r="AM3" s="5">
        <f t="shared" si="2"/>
        <v>0</v>
      </c>
      <c r="AN3" s="5">
        <f t="shared" si="3"/>
        <v>0</v>
      </c>
      <c r="AO3" s="5">
        <f t="shared" si="4"/>
        <v>0</v>
      </c>
      <c r="AP3" s="5">
        <f t="shared" si="5"/>
        <v>0</v>
      </c>
    </row>
    <row r="4" spans="1:42" ht="14.5" x14ac:dyDescent="0.35"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f t="shared" si="0"/>
        <v>31</v>
      </c>
      <c r="AL4" s="5">
        <f t="shared" si="1"/>
        <v>0</v>
      </c>
      <c r="AM4" s="5">
        <f t="shared" si="2"/>
        <v>0</v>
      </c>
      <c r="AN4" s="5">
        <f t="shared" si="3"/>
        <v>0</v>
      </c>
      <c r="AO4" s="5">
        <f t="shared" si="4"/>
        <v>0</v>
      </c>
      <c r="AP4" s="5">
        <f t="shared" si="5"/>
        <v>0</v>
      </c>
    </row>
    <row r="5" spans="1:42" ht="14.5" x14ac:dyDescent="0.35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f t="shared" si="0"/>
        <v>31</v>
      </c>
      <c r="AL5" s="5">
        <f t="shared" si="1"/>
        <v>0</v>
      </c>
      <c r="AM5" s="5">
        <f t="shared" si="2"/>
        <v>0</v>
      </c>
      <c r="AN5" s="5">
        <f t="shared" si="3"/>
        <v>0</v>
      </c>
      <c r="AO5" s="5">
        <f t="shared" si="4"/>
        <v>0</v>
      </c>
      <c r="AP5" s="5">
        <f t="shared" si="5"/>
        <v>0</v>
      </c>
    </row>
    <row r="6" spans="1:42" ht="14.5" x14ac:dyDescent="0.35"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f t="shared" si="0"/>
        <v>31</v>
      </c>
      <c r="AL6" s="5">
        <f t="shared" si="1"/>
        <v>0</v>
      </c>
      <c r="AM6" s="5">
        <f t="shared" si="2"/>
        <v>0</v>
      </c>
      <c r="AN6" s="5">
        <f t="shared" si="3"/>
        <v>0</v>
      </c>
      <c r="AO6" s="5">
        <f t="shared" si="4"/>
        <v>0</v>
      </c>
      <c r="AP6" s="5">
        <f t="shared" si="5"/>
        <v>0</v>
      </c>
    </row>
    <row r="7" spans="1:42" ht="14.5" x14ac:dyDescent="0.35"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f t="shared" si="0"/>
        <v>31</v>
      </c>
      <c r="AL7" s="5">
        <f t="shared" si="1"/>
        <v>0</v>
      </c>
      <c r="AM7" s="5">
        <f t="shared" si="2"/>
        <v>0</v>
      </c>
      <c r="AN7" s="5">
        <f t="shared" si="3"/>
        <v>0</v>
      </c>
      <c r="AO7" s="5">
        <f t="shared" si="4"/>
        <v>0</v>
      </c>
      <c r="AP7" s="5">
        <f t="shared" si="5"/>
        <v>0</v>
      </c>
    </row>
    <row r="8" spans="1:42" ht="14.5" x14ac:dyDescent="0.35"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f t="shared" si="0"/>
        <v>31</v>
      </c>
      <c r="AL8" s="5">
        <f t="shared" si="1"/>
        <v>0</v>
      </c>
      <c r="AM8" s="5">
        <f t="shared" si="2"/>
        <v>0</v>
      </c>
      <c r="AN8" s="5">
        <f t="shared" si="3"/>
        <v>0</v>
      </c>
      <c r="AO8" s="5">
        <f t="shared" si="4"/>
        <v>0</v>
      </c>
      <c r="AP8" s="5">
        <f t="shared" si="5"/>
        <v>0</v>
      </c>
    </row>
    <row r="9" spans="1:42" ht="14.5" x14ac:dyDescent="0.35"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f t="shared" si="0"/>
        <v>31</v>
      </c>
      <c r="AL9" s="5">
        <f t="shared" si="1"/>
        <v>0</v>
      </c>
      <c r="AM9" s="5">
        <f t="shared" si="2"/>
        <v>0</v>
      </c>
      <c r="AN9" s="5">
        <f t="shared" si="3"/>
        <v>0</v>
      </c>
      <c r="AO9" s="5">
        <f t="shared" si="4"/>
        <v>0</v>
      </c>
      <c r="AP9" s="5">
        <f t="shared" si="5"/>
        <v>0</v>
      </c>
    </row>
    <row r="10" spans="1:42" ht="14.5" x14ac:dyDescent="0.35"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f t="shared" si="0"/>
        <v>31</v>
      </c>
      <c r="AL10" s="5">
        <f t="shared" si="1"/>
        <v>0</v>
      </c>
      <c r="AM10" s="5">
        <f t="shared" si="2"/>
        <v>0</v>
      </c>
      <c r="AN10" s="5">
        <f t="shared" si="3"/>
        <v>0</v>
      </c>
      <c r="AO10" s="5">
        <f t="shared" si="4"/>
        <v>0</v>
      </c>
      <c r="AP10" s="5">
        <f t="shared" si="5"/>
        <v>0</v>
      </c>
    </row>
    <row r="11" spans="1:42" ht="14.5" x14ac:dyDescent="0.35"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f t="shared" si="0"/>
        <v>31</v>
      </c>
      <c r="AL11" s="5">
        <f t="shared" si="1"/>
        <v>0</v>
      </c>
      <c r="AM11" s="5">
        <f t="shared" si="2"/>
        <v>0</v>
      </c>
      <c r="AN11" s="5">
        <f t="shared" si="3"/>
        <v>0</v>
      </c>
      <c r="AO11" s="5">
        <f t="shared" si="4"/>
        <v>0</v>
      </c>
      <c r="AP11" s="5">
        <f t="shared" si="5"/>
        <v>0</v>
      </c>
    </row>
    <row r="12" spans="1:42" ht="14.5" x14ac:dyDescent="0.35"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f t="shared" si="0"/>
        <v>31</v>
      </c>
      <c r="AL12" s="5">
        <f t="shared" si="1"/>
        <v>0</v>
      </c>
      <c r="AM12" s="5">
        <f t="shared" si="2"/>
        <v>0</v>
      </c>
      <c r="AN12" s="5">
        <f t="shared" si="3"/>
        <v>0</v>
      </c>
      <c r="AO12" s="5">
        <f t="shared" si="4"/>
        <v>0</v>
      </c>
      <c r="AP12" s="5">
        <f t="shared" si="5"/>
        <v>0</v>
      </c>
    </row>
    <row r="13" spans="1:42" ht="14.5" x14ac:dyDescent="0.35"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f t="shared" si="0"/>
        <v>31</v>
      </c>
      <c r="AL13" s="5">
        <f t="shared" si="1"/>
        <v>0</v>
      </c>
      <c r="AM13" s="5">
        <f t="shared" si="2"/>
        <v>0</v>
      </c>
      <c r="AN13" s="5">
        <f t="shared" si="3"/>
        <v>0</v>
      </c>
      <c r="AO13" s="5">
        <f t="shared" si="4"/>
        <v>0</v>
      </c>
      <c r="AP13" s="5">
        <f t="shared" si="5"/>
        <v>0</v>
      </c>
    </row>
    <row r="14" spans="1:42" ht="14.5" x14ac:dyDescent="0.35"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f t="shared" si="0"/>
        <v>31</v>
      </c>
      <c r="AL14" s="5">
        <f t="shared" si="1"/>
        <v>0</v>
      </c>
      <c r="AM14" s="5">
        <f t="shared" si="2"/>
        <v>0</v>
      </c>
      <c r="AN14" s="5">
        <f t="shared" si="3"/>
        <v>0</v>
      </c>
      <c r="AO14" s="5">
        <f t="shared" si="4"/>
        <v>0</v>
      </c>
      <c r="AP14" s="5">
        <f t="shared" si="5"/>
        <v>0</v>
      </c>
    </row>
    <row r="15" spans="1:42" ht="14.5" x14ac:dyDescent="0.35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f t="shared" si="0"/>
        <v>31</v>
      </c>
      <c r="AL15" s="5">
        <f t="shared" si="1"/>
        <v>0</v>
      </c>
      <c r="AM15" s="5">
        <f t="shared" si="2"/>
        <v>0</v>
      </c>
      <c r="AN15" s="5">
        <f t="shared" si="3"/>
        <v>0</v>
      </c>
      <c r="AO15" s="5">
        <f t="shared" si="4"/>
        <v>0</v>
      </c>
      <c r="AP15" s="5">
        <f t="shared" si="5"/>
        <v>0</v>
      </c>
    </row>
    <row r="16" spans="1:42" ht="14.5" x14ac:dyDescent="0.3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f t="shared" si="0"/>
        <v>31</v>
      </c>
      <c r="AL16" s="5">
        <f t="shared" si="1"/>
        <v>0</v>
      </c>
      <c r="AM16" s="5">
        <f t="shared" si="2"/>
        <v>0</v>
      </c>
      <c r="AN16" s="5">
        <f t="shared" si="3"/>
        <v>0</v>
      </c>
      <c r="AO16" s="5">
        <f t="shared" si="4"/>
        <v>0</v>
      </c>
      <c r="AP16" s="5">
        <f t="shared" si="5"/>
        <v>0</v>
      </c>
    </row>
    <row r="17" spans="6:42" ht="14.5" x14ac:dyDescent="0.3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f t="shared" si="0"/>
        <v>31</v>
      </c>
      <c r="AL17" s="5">
        <f t="shared" si="1"/>
        <v>0</v>
      </c>
      <c r="AM17" s="5">
        <f t="shared" si="2"/>
        <v>0</v>
      </c>
      <c r="AN17" s="5">
        <f t="shared" si="3"/>
        <v>0</v>
      </c>
      <c r="AO17" s="5">
        <f t="shared" si="4"/>
        <v>0</v>
      </c>
      <c r="AP17" s="5">
        <f t="shared" si="5"/>
        <v>0</v>
      </c>
    </row>
    <row r="18" spans="6:42" ht="14.5" x14ac:dyDescent="0.3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f t="shared" si="0"/>
        <v>31</v>
      </c>
      <c r="AL18" s="5">
        <f t="shared" si="1"/>
        <v>0</v>
      </c>
      <c r="AM18" s="5">
        <f t="shared" si="2"/>
        <v>0</v>
      </c>
      <c r="AN18" s="5">
        <f t="shared" si="3"/>
        <v>0</v>
      </c>
      <c r="AO18" s="5">
        <f t="shared" si="4"/>
        <v>0</v>
      </c>
      <c r="AP18" s="5">
        <f t="shared" si="5"/>
        <v>0</v>
      </c>
    </row>
    <row r="19" spans="6:42" ht="14.5" x14ac:dyDescent="0.35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f t="shared" si="0"/>
        <v>31</v>
      </c>
      <c r="AL19" s="5">
        <f t="shared" si="1"/>
        <v>0</v>
      </c>
      <c r="AM19" s="5">
        <f t="shared" si="2"/>
        <v>0</v>
      </c>
      <c r="AN19" s="5">
        <f t="shared" si="3"/>
        <v>0</v>
      </c>
      <c r="AO19" s="5">
        <f t="shared" si="4"/>
        <v>0</v>
      </c>
      <c r="AP19" s="5">
        <f t="shared" si="5"/>
        <v>0</v>
      </c>
    </row>
    <row r="20" spans="6:42" ht="14.5" x14ac:dyDescent="0.3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f t="shared" si="0"/>
        <v>31</v>
      </c>
      <c r="AL20" s="5">
        <f t="shared" si="1"/>
        <v>0</v>
      </c>
      <c r="AM20" s="5">
        <f t="shared" si="2"/>
        <v>0</v>
      </c>
      <c r="AN20" s="5">
        <f t="shared" si="3"/>
        <v>0</v>
      </c>
      <c r="AO20" s="5">
        <f t="shared" si="4"/>
        <v>0</v>
      </c>
      <c r="AP20" s="5">
        <f t="shared" si="5"/>
        <v>0</v>
      </c>
    </row>
    <row r="21" spans="6:42" ht="15.75" customHeight="1" x14ac:dyDescent="0.35"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f t="shared" si="0"/>
        <v>31</v>
      </c>
      <c r="AL21" s="5">
        <f t="shared" si="1"/>
        <v>0</v>
      </c>
      <c r="AM21" s="5">
        <f t="shared" si="2"/>
        <v>0</v>
      </c>
      <c r="AN21" s="5">
        <f t="shared" si="3"/>
        <v>0</v>
      </c>
      <c r="AO21" s="5">
        <f t="shared" si="4"/>
        <v>0</v>
      </c>
      <c r="AP21" s="5">
        <f t="shared" si="5"/>
        <v>0</v>
      </c>
    </row>
    <row r="22" spans="6:42" ht="15.75" customHeight="1" x14ac:dyDescent="0.35"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f t="shared" si="0"/>
        <v>31</v>
      </c>
      <c r="AL22" s="5">
        <f t="shared" si="1"/>
        <v>0</v>
      </c>
      <c r="AM22" s="5">
        <f t="shared" si="2"/>
        <v>0</v>
      </c>
      <c r="AN22" s="5">
        <f t="shared" si="3"/>
        <v>0</v>
      </c>
      <c r="AO22" s="5">
        <f t="shared" si="4"/>
        <v>0</v>
      </c>
      <c r="AP22" s="5">
        <f t="shared" si="5"/>
        <v>0</v>
      </c>
    </row>
    <row r="23" spans="6:42" ht="15.75" customHeight="1" x14ac:dyDescent="0.35"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f t="shared" si="0"/>
        <v>31</v>
      </c>
      <c r="AL23" s="5">
        <f t="shared" si="1"/>
        <v>0</v>
      </c>
      <c r="AM23" s="5">
        <f t="shared" si="2"/>
        <v>0</v>
      </c>
      <c r="AN23" s="5">
        <f t="shared" si="3"/>
        <v>0</v>
      </c>
      <c r="AO23" s="5">
        <f t="shared" si="4"/>
        <v>0</v>
      </c>
      <c r="AP23" s="5">
        <f t="shared" si="5"/>
        <v>0</v>
      </c>
    </row>
    <row r="24" spans="6:42" ht="15.75" customHeight="1" x14ac:dyDescent="0.35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f t="shared" si="0"/>
        <v>31</v>
      </c>
      <c r="AL24" s="5">
        <f t="shared" si="1"/>
        <v>0</v>
      </c>
      <c r="AM24" s="5">
        <f t="shared" si="2"/>
        <v>0</v>
      </c>
      <c r="AN24" s="5">
        <f t="shared" si="3"/>
        <v>0</v>
      </c>
      <c r="AO24" s="5">
        <f t="shared" si="4"/>
        <v>0</v>
      </c>
      <c r="AP24" s="5">
        <f t="shared" si="5"/>
        <v>0</v>
      </c>
    </row>
    <row r="25" spans="6:42" ht="15.75" customHeight="1" x14ac:dyDescent="0.35"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f t="shared" si="0"/>
        <v>31</v>
      </c>
      <c r="AL25" s="5">
        <f t="shared" si="1"/>
        <v>0</v>
      </c>
      <c r="AM25" s="5">
        <f t="shared" si="2"/>
        <v>0</v>
      </c>
      <c r="AN25" s="5">
        <f t="shared" si="3"/>
        <v>0</v>
      </c>
      <c r="AO25" s="5">
        <f t="shared" si="4"/>
        <v>0</v>
      </c>
      <c r="AP25" s="5">
        <f t="shared" si="5"/>
        <v>0</v>
      </c>
    </row>
    <row r="26" spans="6:42" ht="15.75" customHeight="1" x14ac:dyDescent="0.35"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>
        <f t="shared" si="0"/>
        <v>31</v>
      </c>
      <c r="AL26" s="5">
        <f t="shared" si="1"/>
        <v>0</v>
      </c>
      <c r="AM26" s="5">
        <f t="shared" si="2"/>
        <v>0</v>
      </c>
      <c r="AN26" s="5">
        <f t="shared" si="3"/>
        <v>0</v>
      </c>
      <c r="AO26" s="5">
        <f t="shared" si="4"/>
        <v>0</v>
      </c>
      <c r="AP26" s="5">
        <f t="shared" si="5"/>
        <v>0</v>
      </c>
    </row>
    <row r="27" spans="6:42" ht="15.75" customHeight="1" x14ac:dyDescent="0.35"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>
        <f t="shared" si="0"/>
        <v>31</v>
      </c>
      <c r="AL27" s="5">
        <f t="shared" si="1"/>
        <v>0</v>
      </c>
      <c r="AM27" s="5">
        <f t="shared" si="2"/>
        <v>0</v>
      </c>
      <c r="AN27" s="5">
        <f t="shared" si="3"/>
        <v>0</v>
      </c>
      <c r="AO27" s="5">
        <f t="shared" si="4"/>
        <v>0</v>
      </c>
      <c r="AP27" s="5">
        <f t="shared" si="5"/>
        <v>0</v>
      </c>
    </row>
    <row r="28" spans="6:42" ht="15.75" customHeight="1" x14ac:dyDescent="0.35"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>
        <f t="shared" si="0"/>
        <v>31</v>
      </c>
      <c r="AL28" s="5">
        <f t="shared" si="1"/>
        <v>0</v>
      </c>
      <c r="AM28" s="5">
        <f t="shared" si="2"/>
        <v>0</v>
      </c>
      <c r="AN28" s="5">
        <f t="shared" si="3"/>
        <v>0</v>
      </c>
      <c r="AO28" s="5">
        <f t="shared" si="4"/>
        <v>0</v>
      </c>
      <c r="AP28" s="5">
        <f t="shared" si="5"/>
        <v>0</v>
      </c>
    </row>
    <row r="29" spans="6:42" ht="15.75" customHeight="1" x14ac:dyDescent="0.35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f t="shared" si="0"/>
        <v>31</v>
      </c>
      <c r="AL29" s="5">
        <f t="shared" si="1"/>
        <v>0</v>
      </c>
      <c r="AM29" s="5">
        <f t="shared" si="2"/>
        <v>0</v>
      </c>
      <c r="AN29" s="5">
        <f t="shared" si="3"/>
        <v>0</v>
      </c>
      <c r="AO29" s="5">
        <f t="shared" si="4"/>
        <v>0</v>
      </c>
      <c r="AP29" s="5">
        <f t="shared" si="5"/>
        <v>0</v>
      </c>
    </row>
    <row r="30" spans="6:42" ht="15.75" customHeight="1" x14ac:dyDescent="0.35"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>
        <f t="shared" si="0"/>
        <v>31</v>
      </c>
      <c r="AL30" s="5">
        <f t="shared" si="1"/>
        <v>0</v>
      </c>
      <c r="AM30" s="5">
        <f t="shared" si="2"/>
        <v>0</v>
      </c>
      <c r="AN30" s="5">
        <f t="shared" si="3"/>
        <v>0</v>
      </c>
      <c r="AO30" s="5">
        <f t="shared" si="4"/>
        <v>0</v>
      </c>
      <c r="AP30" s="5">
        <f t="shared" si="5"/>
        <v>0</v>
      </c>
    </row>
    <row r="31" spans="6:42" ht="15.75" customHeight="1" x14ac:dyDescent="0.35"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f t="shared" si="0"/>
        <v>31</v>
      </c>
      <c r="AL31" s="5">
        <f t="shared" si="1"/>
        <v>0</v>
      </c>
      <c r="AM31" s="5">
        <f t="shared" si="2"/>
        <v>0</v>
      </c>
      <c r="AN31" s="5">
        <f t="shared" si="3"/>
        <v>0</v>
      </c>
      <c r="AO31" s="5">
        <f t="shared" si="4"/>
        <v>0</v>
      </c>
      <c r="AP31" s="5">
        <f t="shared" si="5"/>
        <v>0</v>
      </c>
    </row>
    <row r="32" spans="6:42" ht="15.75" customHeight="1" x14ac:dyDescent="0.35"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>
        <f t="shared" si="0"/>
        <v>31</v>
      </c>
      <c r="AL32" s="5">
        <f t="shared" si="1"/>
        <v>0</v>
      </c>
      <c r="AM32" s="5">
        <f t="shared" si="2"/>
        <v>0</v>
      </c>
      <c r="AN32" s="5">
        <f t="shared" si="3"/>
        <v>0</v>
      </c>
      <c r="AO32" s="5">
        <f t="shared" si="4"/>
        <v>0</v>
      </c>
      <c r="AP32" s="5">
        <f t="shared" si="5"/>
        <v>0</v>
      </c>
    </row>
    <row r="33" spans="6:42" ht="15.75" customHeight="1" x14ac:dyDescent="0.35"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f t="shared" si="0"/>
        <v>31</v>
      </c>
      <c r="AL33" s="5">
        <f t="shared" si="1"/>
        <v>0</v>
      </c>
      <c r="AM33" s="5">
        <f t="shared" si="2"/>
        <v>0</v>
      </c>
      <c r="AN33" s="5">
        <f t="shared" si="3"/>
        <v>0</v>
      </c>
      <c r="AO33" s="5">
        <f t="shared" si="4"/>
        <v>0</v>
      </c>
      <c r="AP33" s="5">
        <f t="shared" si="5"/>
        <v>0</v>
      </c>
    </row>
    <row r="34" spans="6:42" ht="15.75" customHeight="1" x14ac:dyDescent="0.35"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f t="shared" si="0"/>
        <v>31</v>
      </c>
      <c r="AL34" s="5">
        <f t="shared" si="1"/>
        <v>0</v>
      </c>
      <c r="AM34" s="5">
        <f t="shared" si="2"/>
        <v>0</v>
      </c>
      <c r="AN34" s="5">
        <f t="shared" si="3"/>
        <v>0</v>
      </c>
      <c r="AO34" s="5">
        <f t="shared" si="4"/>
        <v>0</v>
      </c>
      <c r="AP34" s="5">
        <f t="shared" si="5"/>
        <v>0</v>
      </c>
    </row>
    <row r="35" spans="6:42" ht="15.75" customHeight="1" x14ac:dyDescent="0.35"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>
        <f t="shared" si="0"/>
        <v>31</v>
      </c>
      <c r="AL35" s="5">
        <f t="shared" si="1"/>
        <v>0</v>
      </c>
      <c r="AM35" s="5">
        <f t="shared" si="2"/>
        <v>0</v>
      </c>
      <c r="AN35" s="5">
        <f t="shared" si="3"/>
        <v>0</v>
      </c>
      <c r="AO35" s="5">
        <f t="shared" si="4"/>
        <v>0</v>
      </c>
      <c r="AP35" s="5">
        <f t="shared" si="5"/>
        <v>0</v>
      </c>
    </row>
    <row r="36" spans="6:42" ht="15.75" customHeight="1" x14ac:dyDescent="0.35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>
        <f t="shared" si="0"/>
        <v>31</v>
      </c>
      <c r="AL36" s="5">
        <f t="shared" si="1"/>
        <v>0</v>
      </c>
      <c r="AM36" s="5">
        <f t="shared" si="2"/>
        <v>0</v>
      </c>
      <c r="AN36" s="5">
        <f t="shared" si="3"/>
        <v>0</v>
      </c>
      <c r="AO36" s="5">
        <f t="shared" si="4"/>
        <v>0</v>
      </c>
      <c r="AP36" s="5">
        <f t="shared" si="5"/>
        <v>0</v>
      </c>
    </row>
    <row r="37" spans="6:42" ht="15.75" customHeight="1" x14ac:dyDescent="0.35"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f t="shared" si="0"/>
        <v>31</v>
      </c>
      <c r="AL37" s="5">
        <f t="shared" si="1"/>
        <v>0</v>
      </c>
      <c r="AM37" s="5">
        <f t="shared" si="2"/>
        <v>0</v>
      </c>
      <c r="AN37" s="5">
        <f t="shared" si="3"/>
        <v>0</v>
      </c>
      <c r="AO37" s="5">
        <f t="shared" si="4"/>
        <v>0</v>
      </c>
      <c r="AP37" s="5">
        <f t="shared" si="5"/>
        <v>0</v>
      </c>
    </row>
    <row r="38" spans="6:42" ht="15.75" customHeight="1" x14ac:dyDescent="0.35"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f t="shared" si="0"/>
        <v>31</v>
      </c>
      <c r="AL38" s="5">
        <f t="shared" si="1"/>
        <v>0</v>
      </c>
      <c r="AM38" s="5">
        <f t="shared" si="2"/>
        <v>0</v>
      </c>
      <c r="AN38" s="5">
        <f t="shared" si="3"/>
        <v>0</v>
      </c>
      <c r="AO38" s="5">
        <f t="shared" si="4"/>
        <v>0</v>
      </c>
      <c r="AP38" s="5">
        <f t="shared" si="5"/>
        <v>0</v>
      </c>
    </row>
    <row r="39" spans="6:42" ht="15.75" customHeight="1" x14ac:dyDescent="0.35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f t="shared" si="0"/>
        <v>31</v>
      </c>
      <c r="AL39" s="5">
        <f t="shared" si="1"/>
        <v>0</v>
      </c>
      <c r="AM39" s="5">
        <f t="shared" si="2"/>
        <v>0</v>
      </c>
      <c r="AN39" s="5">
        <f t="shared" si="3"/>
        <v>0</v>
      </c>
      <c r="AO39" s="5">
        <f t="shared" si="4"/>
        <v>0</v>
      </c>
      <c r="AP39" s="5">
        <f t="shared" si="5"/>
        <v>0</v>
      </c>
    </row>
    <row r="40" spans="6:42" ht="15.75" customHeight="1" x14ac:dyDescent="0.35"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f t="shared" si="0"/>
        <v>31</v>
      </c>
      <c r="AL40" s="5">
        <f t="shared" si="1"/>
        <v>0</v>
      </c>
      <c r="AM40" s="5">
        <f t="shared" si="2"/>
        <v>0</v>
      </c>
      <c r="AN40" s="5">
        <f t="shared" si="3"/>
        <v>0</v>
      </c>
      <c r="AO40" s="5">
        <f t="shared" si="4"/>
        <v>0</v>
      </c>
      <c r="AP40" s="5">
        <f t="shared" si="5"/>
        <v>0</v>
      </c>
    </row>
    <row r="41" spans="6:42" ht="15.75" customHeight="1" x14ac:dyDescent="0.35"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>
        <f t="shared" si="0"/>
        <v>31</v>
      </c>
      <c r="AL41" s="5">
        <f t="shared" si="1"/>
        <v>0</v>
      </c>
      <c r="AM41" s="5">
        <f t="shared" si="2"/>
        <v>0</v>
      </c>
      <c r="AN41" s="5">
        <f t="shared" si="3"/>
        <v>0</v>
      </c>
      <c r="AO41" s="5">
        <f t="shared" si="4"/>
        <v>0</v>
      </c>
      <c r="AP41" s="5">
        <f t="shared" si="5"/>
        <v>0</v>
      </c>
    </row>
    <row r="42" spans="6:42" ht="15.75" customHeight="1" x14ac:dyDescent="0.35"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f t="shared" si="0"/>
        <v>31</v>
      </c>
      <c r="AL42" s="5">
        <f t="shared" si="1"/>
        <v>0</v>
      </c>
      <c r="AM42" s="5">
        <f t="shared" si="2"/>
        <v>0</v>
      </c>
      <c r="AN42" s="5">
        <f t="shared" si="3"/>
        <v>0</v>
      </c>
      <c r="AO42" s="5">
        <f t="shared" si="4"/>
        <v>0</v>
      </c>
      <c r="AP42" s="5">
        <f t="shared" si="5"/>
        <v>0</v>
      </c>
    </row>
    <row r="43" spans="6:42" ht="15.75" customHeight="1" x14ac:dyDescent="0.35"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>
        <f t="shared" si="0"/>
        <v>31</v>
      </c>
      <c r="AL43" s="5">
        <f t="shared" si="1"/>
        <v>0</v>
      </c>
      <c r="AM43" s="5">
        <f t="shared" si="2"/>
        <v>0</v>
      </c>
      <c r="AN43" s="5">
        <f t="shared" si="3"/>
        <v>0</v>
      </c>
      <c r="AO43" s="5">
        <f t="shared" si="4"/>
        <v>0</v>
      </c>
      <c r="AP43" s="5">
        <f t="shared" si="5"/>
        <v>0</v>
      </c>
    </row>
    <row r="44" spans="6:42" ht="15.75" customHeight="1" x14ac:dyDescent="0.35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f t="shared" si="0"/>
        <v>31</v>
      </c>
      <c r="AL44" s="5">
        <f t="shared" si="1"/>
        <v>0</v>
      </c>
      <c r="AM44" s="5">
        <f t="shared" si="2"/>
        <v>0</v>
      </c>
      <c r="AN44" s="5">
        <f t="shared" si="3"/>
        <v>0</v>
      </c>
      <c r="AO44" s="5">
        <f t="shared" si="4"/>
        <v>0</v>
      </c>
      <c r="AP44" s="5">
        <f t="shared" si="5"/>
        <v>0</v>
      </c>
    </row>
    <row r="45" spans="6:42" ht="15.75" customHeight="1" x14ac:dyDescent="0.35"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f t="shared" si="0"/>
        <v>31</v>
      </c>
      <c r="AL45" s="5">
        <f t="shared" si="1"/>
        <v>0</v>
      </c>
      <c r="AM45" s="5">
        <f t="shared" si="2"/>
        <v>0</v>
      </c>
      <c r="AN45" s="5">
        <f t="shared" si="3"/>
        <v>0</v>
      </c>
      <c r="AO45" s="5">
        <f t="shared" si="4"/>
        <v>0</v>
      </c>
      <c r="AP45" s="5">
        <f t="shared" si="5"/>
        <v>0</v>
      </c>
    </row>
    <row r="46" spans="6:42" ht="15.75" customHeight="1" x14ac:dyDescent="0.35"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>
        <f t="shared" si="0"/>
        <v>31</v>
      </c>
      <c r="AL46" s="5">
        <f t="shared" si="1"/>
        <v>0</v>
      </c>
      <c r="AM46" s="5">
        <f t="shared" si="2"/>
        <v>0</v>
      </c>
      <c r="AN46" s="5">
        <f t="shared" si="3"/>
        <v>0</v>
      </c>
      <c r="AO46" s="5">
        <f t="shared" si="4"/>
        <v>0</v>
      </c>
      <c r="AP46" s="5">
        <f t="shared" si="5"/>
        <v>0</v>
      </c>
    </row>
    <row r="47" spans="6:42" ht="15.75" customHeight="1" x14ac:dyDescent="0.35"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f t="shared" si="0"/>
        <v>31</v>
      </c>
      <c r="AL47" s="5">
        <f t="shared" si="1"/>
        <v>0</v>
      </c>
      <c r="AM47" s="5">
        <f t="shared" si="2"/>
        <v>0</v>
      </c>
      <c r="AN47" s="5">
        <f t="shared" si="3"/>
        <v>0</v>
      </c>
      <c r="AO47" s="5">
        <f t="shared" si="4"/>
        <v>0</v>
      </c>
      <c r="AP47" s="5">
        <f t="shared" si="5"/>
        <v>0</v>
      </c>
    </row>
    <row r="48" spans="6:42" ht="15.75" customHeight="1" x14ac:dyDescent="0.35"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f t="shared" si="0"/>
        <v>31</v>
      </c>
      <c r="AL48" s="5">
        <f t="shared" si="1"/>
        <v>0</v>
      </c>
      <c r="AM48" s="5">
        <f t="shared" si="2"/>
        <v>0</v>
      </c>
      <c r="AN48" s="5">
        <f t="shared" si="3"/>
        <v>0</v>
      </c>
      <c r="AO48" s="5">
        <f t="shared" si="4"/>
        <v>0</v>
      </c>
      <c r="AP48" s="5">
        <f t="shared" si="5"/>
        <v>0</v>
      </c>
    </row>
    <row r="49" spans="6:42" ht="15.75" customHeight="1" x14ac:dyDescent="0.35"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>
        <f t="shared" si="0"/>
        <v>31</v>
      </c>
      <c r="AL49" s="5">
        <f t="shared" si="1"/>
        <v>0</v>
      </c>
      <c r="AM49" s="5">
        <f t="shared" si="2"/>
        <v>0</v>
      </c>
      <c r="AN49" s="5">
        <f t="shared" si="3"/>
        <v>0</v>
      </c>
      <c r="AO49" s="5">
        <f t="shared" si="4"/>
        <v>0</v>
      </c>
      <c r="AP49" s="5">
        <f t="shared" si="5"/>
        <v>0</v>
      </c>
    </row>
    <row r="50" spans="6:42" ht="15.75" customHeight="1" x14ac:dyDescent="0.35"/>
    <row r="51" spans="6:42" ht="15.75" customHeight="1" x14ac:dyDescent="0.35"/>
    <row r="52" spans="6:42" ht="15.75" customHeight="1" x14ac:dyDescent="0.35"/>
    <row r="53" spans="6:42" ht="15.75" customHeight="1" x14ac:dyDescent="0.35"/>
    <row r="54" spans="6:42" ht="15.75" customHeight="1" x14ac:dyDescent="0.35"/>
    <row r="55" spans="6:42" ht="15.75" customHeight="1" x14ac:dyDescent="0.35"/>
    <row r="56" spans="6:42" ht="15.75" customHeight="1" x14ac:dyDescent="0.35"/>
    <row r="57" spans="6:42" ht="15.75" customHeight="1" x14ac:dyDescent="0.35"/>
    <row r="58" spans="6:42" ht="15.75" customHeight="1" x14ac:dyDescent="0.35"/>
    <row r="59" spans="6:42" ht="15.75" customHeight="1" x14ac:dyDescent="0.35"/>
    <row r="60" spans="6:42" ht="15.75" customHeight="1" x14ac:dyDescent="0.35"/>
    <row r="61" spans="6:42" ht="15.75" customHeight="1" x14ac:dyDescent="0.35"/>
    <row r="62" spans="6:42" ht="15.75" customHeight="1" x14ac:dyDescent="0.35"/>
    <row r="63" spans="6:42" ht="15.75" customHeight="1" x14ac:dyDescent="0.35"/>
    <row r="64" spans="6:42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1">
    <dataValidation type="list" allowBlank="1" sqref="F2:AJ49" xr:uid="{00000000-0002-0000-0100-000000000000}">
      <formula1>"P,A,H,CL,SL"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tabSelected="1" workbookViewId="0">
      <selection activeCell="C15" sqref="C15"/>
    </sheetView>
  </sheetViews>
  <sheetFormatPr defaultColWidth="14.453125" defaultRowHeight="15" customHeight="1" x14ac:dyDescent="0.35"/>
  <cols>
    <col min="1" max="1" width="16.54296875" customWidth="1"/>
    <col min="2" max="2" width="25.26953125" customWidth="1"/>
    <col min="3" max="3" width="24" customWidth="1"/>
    <col min="4" max="4" width="8.7265625" customWidth="1"/>
    <col min="5" max="5" width="17.7265625" customWidth="1"/>
    <col min="6" max="44" width="8.7265625" customWidth="1"/>
  </cols>
  <sheetData>
    <row r="1" spans="1:44" ht="14.5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68</v>
      </c>
      <c r="AN1" s="12" t="s">
        <v>69</v>
      </c>
      <c r="AO1" s="12" t="s">
        <v>38</v>
      </c>
      <c r="AP1" s="12" t="s">
        <v>39</v>
      </c>
      <c r="AQ1" s="12" t="s">
        <v>40</v>
      </c>
      <c r="AR1" s="12" t="s">
        <v>41</v>
      </c>
    </row>
    <row r="2" spans="1:44" ht="14.5" x14ac:dyDescent="0.35">
      <c r="A2" s="19"/>
      <c r="B2" s="19"/>
      <c r="C2" s="19"/>
      <c r="D2" s="19"/>
      <c r="E2" s="19"/>
      <c r="F2" s="12" t="s">
        <v>70</v>
      </c>
      <c r="G2" s="12" t="s">
        <v>71</v>
      </c>
      <c r="H2" s="12" t="s">
        <v>72</v>
      </c>
      <c r="I2" s="12" t="s">
        <v>73</v>
      </c>
      <c r="J2" s="12" t="s">
        <v>74</v>
      </c>
      <c r="K2" s="12" t="s">
        <v>75</v>
      </c>
      <c r="L2" s="12" t="s">
        <v>76</v>
      </c>
      <c r="M2" s="12" t="s">
        <v>70</v>
      </c>
      <c r="N2" s="12" t="s">
        <v>71</v>
      </c>
      <c r="O2" s="12" t="s">
        <v>72</v>
      </c>
      <c r="P2" s="12" t="s">
        <v>73</v>
      </c>
      <c r="Q2" s="12" t="s">
        <v>74</v>
      </c>
      <c r="R2" s="12" t="s">
        <v>75</v>
      </c>
      <c r="S2" s="12" t="s">
        <v>76</v>
      </c>
      <c r="T2" s="12" t="s">
        <v>70</v>
      </c>
      <c r="U2" s="12" t="s">
        <v>71</v>
      </c>
      <c r="V2" s="12" t="s">
        <v>72</v>
      </c>
      <c r="W2" s="12" t="s">
        <v>73</v>
      </c>
      <c r="X2" s="12" t="s">
        <v>74</v>
      </c>
      <c r="Y2" s="12" t="s">
        <v>75</v>
      </c>
      <c r="Z2" s="12" t="s">
        <v>76</v>
      </c>
      <c r="AA2" s="12" t="s">
        <v>70</v>
      </c>
      <c r="AB2" s="12" t="s">
        <v>71</v>
      </c>
      <c r="AC2" s="12" t="s">
        <v>72</v>
      </c>
      <c r="AD2" s="12" t="s">
        <v>73</v>
      </c>
      <c r="AE2" s="12" t="s">
        <v>74</v>
      </c>
      <c r="AF2" s="12" t="s">
        <v>75</v>
      </c>
      <c r="AG2" s="12" t="s">
        <v>76</v>
      </c>
      <c r="AH2" s="12" t="s">
        <v>70</v>
      </c>
      <c r="AI2" s="12" t="s">
        <v>71</v>
      </c>
      <c r="AJ2" s="12" t="s">
        <v>72</v>
      </c>
      <c r="AK2" s="13"/>
      <c r="AL2" s="13"/>
      <c r="AM2" s="13"/>
      <c r="AN2" s="13"/>
      <c r="AO2" s="13"/>
      <c r="AP2" s="13"/>
      <c r="AQ2" s="13"/>
      <c r="AR2" s="13"/>
    </row>
    <row r="3" spans="1:44" ht="14.5" x14ac:dyDescent="0.35">
      <c r="A3" s="2" t="s">
        <v>42</v>
      </c>
      <c r="B3" s="2" t="s">
        <v>43</v>
      </c>
      <c r="C3" s="2" t="s">
        <v>44</v>
      </c>
      <c r="D3" s="4">
        <v>100000</v>
      </c>
      <c r="E3" s="3" t="s">
        <v>45</v>
      </c>
      <c r="F3" s="14" t="s">
        <v>77</v>
      </c>
      <c r="G3" s="14" t="s">
        <v>78</v>
      </c>
      <c r="H3" s="14" t="s">
        <v>78</v>
      </c>
      <c r="I3" s="14" t="s">
        <v>78</v>
      </c>
      <c r="J3" s="14" t="s">
        <v>78</v>
      </c>
      <c r="K3" s="14" t="s">
        <v>78</v>
      </c>
      <c r="L3" s="14" t="s">
        <v>78</v>
      </c>
      <c r="M3" s="14" t="s">
        <v>77</v>
      </c>
      <c r="N3" s="14" t="s">
        <v>78</v>
      </c>
      <c r="O3" s="14" t="s">
        <v>78</v>
      </c>
      <c r="P3" s="14" t="s">
        <v>78</v>
      </c>
      <c r="Q3" s="14" t="s">
        <v>78</v>
      </c>
      <c r="R3" s="14" t="s">
        <v>78</v>
      </c>
      <c r="S3" s="14" t="s">
        <v>78</v>
      </c>
      <c r="T3" s="14" t="s">
        <v>77</v>
      </c>
      <c r="U3" s="14" t="s">
        <v>78</v>
      </c>
      <c r="V3" s="14" t="s">
        <v>78</v>
      </c>
      <c r="W3" s="14" t="s">
        <v>78</v>
      </c>
      <c r="X3" s="14" t="s">
        <v>79</v>
      </c>
      <c r="Y3" s="14" t="s">
        <v>78</v>
      </c>
      <c r="Z3" s="14" t="s">
        <v>78</v>
      </c>
      <c r="AA3" s="14" t="s">
        <v>77</v>
      </c>
      <c r="AB3" s="14" t="s">
        <v>78</v>
      </c>
      <c r="AC3" s="14" t="s">
        <v>78</v>
      </c>
      <c r="AD3" s="14" t="s">
        <v>78</v>
      </c>
      <c r="AE3" s="14" t="s">
        <v>78</v>
      </c>
      <c r="AF3" s="14" t="s">
        <v>78</v>
      </c>
      <c r="AG3" s="14" t="s">
        <v>78</v>
      </c>
      <c r="AH3" s="14" t="s">
        <v>77</v>
      </c>
      <c r="AI3" s="14" t="s">
        <v>78</v>
      </c>
      <c r="AJ3" s="14" t="s">
        <v>78</v>
      </c>
      <c r="AK3" s="14">
        <f t="shared" ref="AK3:AK10" si="0">COUNTIF(F3:AI3,"&lt;&gt;S")</f>
        <v>25</v>
      </c>
      <c r="AL3" s="14">
        <f t="shared" ref="AL3:AL10" si="1">COUNTIF(F3:AI3,"P")</f>
        <v>24</v>
      </c>
      <c r="AM3" s="14">
        <f t="shared" ref="AM3:AM10" si="2">COUNTIF(F3:AI3,"H")</f>
        <v>1</v>
      </c>
      <c r="AN3" s="14">
        <f t="shared" ref="AN3:AN10" si="3">COUNTIF(F3:AI3,"S")</f>
        <v>5</v>
      </c>
      <c r="AO3" s="14">
        <f t="shared" ref="AO3:AO10" si="4">COUNTIF(F3:AI3,"CL")</f>
        <v>0</v>
      </c>
      <c r="AP3" s="14">
        <f t="shared" ref="AP3:AP10" si="5">COUNTIF(F3:AI3,"SL")</f>
        <v>0</v>
      </c>
      <c r="AQ3" s="14">
        <f t="shared" ref="AQ3:AQ10" si="6">COUNTIF(F3:AI3,"A")</f>
        <v>0</v>
      </c>
      <c r="AR3" s="14">
        <f t="shared" ref="AR3:AR10" si="7">(D3/30) * (
VALUE(AL3) + VALUE(AN3) + VALUE(AM3) +
MIN(VALUE(AO3),1) + MIN(VALUE(AP3),1)
) - 200</f>
        <v>99800</v>
      </c>
    </row>
    <row r="4" spans="1:44" ht="14.5" x14ac:dyDescent="0.35">
      <c r="A4" s="2" t="s">
        <v>46</v>
      </c>
      <c r="B4" s="2" t="s">
        <v>47</v>
      </c>
      <c r="C4" s="2" t="s">
        <v>48</v>
      </c>
      <c r="D4" s="4">
        <v>15000</v>
      </c>
      <c r="E4" s="6">
        <v>45051</v>
      </c>
      <c r="F4" s="14" t="s">
        <v>77</v>
      </c>
      <c r="G4" s="14" t="s">
        <v>78</v>
      </c>
      <c r="H4" s="14" t="s">
        <v>78</v>
      </c>
      <c r="I4" s="14" t="s">
        <v>78</v>
      </c>
      <c r="J4" s="14" t="s">
        <v>78</v>
      </c>
      <c r="K4" s="14" t="s">
        <v>78</v>
      </c>
      <c r="L4" s="14" t="s">
        <v>78</v>
      </c>
      <c r="M4" s="14" t="s">
        <v>77</v>
      </c>
      <c r="N4" s="14" t="s">
        <v>78</v>
      </c>
      <c r="O4" s="14" t="s">
        <v>78</v>
      </c>
      <c r="P4" s="14" t="s">
        <v>78</v>
      </c>
      <c r="Q4" s="14" t="s">
        <v>78</v>
      </c>
      <c r="R4" s="14" t="s">
        <v>78</v>
      </c>
      <c r="S4" s="14" t="s">
        <v>78</v>
      </c>
      <c r="T4" s="14" t="s">
        <v>77</v>
      </c>
      <c r="U4" s="14" t="s">
        <v>78</v>
      </c>
      <c r="V4" s="14" t="s">
        <v>78</v>
      </c>
      <c r="W4" s="14" t="s">
        <v>78</v>
      </c>
      <c r="X4" s="14" t="s">
        <v>79</v>
      </c>
      <c r="Y4" s="14" t="s">
        <v>78</v>
      </c>
      <c r="Z4" s="14" t="s">
        <v>78</v>
      </c>
      <c r="AA4" s="14" t="s">
        <v>77</v>
      </c>
      <c r="AB4" s="14" t="s">
        <v>78</v>
      </c>
      <c r="AC4" s="14" t="s">
        <v>78</v>
      </c>
      <c r="AD4" s="14" t="s">
        <v>78</v>
      </c>
      <c r="AE4" s="14" t="s">
        <v>78</v>
      </c>
      <c r="AF4" s="14" t="s">
        <v>78</v>
      </c>
      <c r="AG4" s="14" t="s">
        <v>78</v>
      </c>
      <c r="AH4" s="14" t="s">
        <v>77</v>
      </c>
      <c r="AI4" s="14" t="s">
        <v>78</v>
      </c>
      <c r="AJ4" s="14" t="s">
        <v>78</v>
      </c>
      <c r="AK4" s="14">
        <f t="shared" si="0"/>
        <v>25</v>
      </c>
      <c r="AL4" s="14">
        <f t="shared" si="1"/>
        <v>24</v>
      </c>
      <c r="AM4" s="14">
        <f t="shared" si="2"/>
        <v>1</v>
      </c>
      <c r="AN4" s="14">
        <f t="shared" si="3"/>
        <v>5</v>
      </c>
      <c r="AO4" s="14">
        <f t="shared" si="4"/>
        <v>0</v>
      </c>
      <c r="AP4" s="14">
        <f t="shared" si="5"/>
        <v>0</v>
      </c>
      <c r="AQ4" s="14">
        <f t="shared" si="6"/>
        <v>0</v>
      </c>
      <c r="AR4" s="14">
        <f t="shared" si="7"/>
        <v>14800</v>
      </c>
    </row>
    <row r="5" spans="1:44" ht="14.5" x14ac:dyDescent="0.35">
      <c r="A5" s="2" t="s">
        <v>49</v>
      </c>
      <c r="B5" s="2" t="s">
        <v>50</v>
      </c>
      <c r="C5" s="2" t="s">
        <v>51</v>
      </c>
      <c r="D5" s="4">
        <v>25000</v>
      </c>
      <c r="E5" s="3" t="s">
        <v>52</v>
      </c>
      <c r="F5" s="14" t="s">
        <v>77</v>
      </c>
      <c r="G5" s="14" t="s">
        <v>78</v>
      </c>
      <c r="H5" s="14" t="s">
        <v>78</v>
      </c>
      <c r="I5" s="14" t="s">
        <v>78</v>
      </c>
      <c r="J5" s="14" t="s">
        <v>78</v>
      </c>
      <c r="K5" s="14" t="s">
        <v>78</v>
      </c>
      <c r="L5" s="14" t="s">
        <v>78</v>
      </c>
      <c r="M5" s="14" t="s">
        <v>77</v>
      </c>
      <c r="N5" s="14" t="s">
        <v>78</v>
      </c>
      <c r="O5" s="14" t="s">
        <v>78</v>
      </c>
      <c r="P5" s="14" t="s">
        <v>78</v>
      </c>
      <c r="Q5" s="14" t="s">
        <v>78</v>
      </c>
      <c r="R5" s="14" t="s">
        <v>78</v>
      </c>
      <c r="S5" s="14" t="s">
        <v>78</v>
      </c>
      <c r="T5" s="14" t="s">
        <v>77</v>
      </c>
      <c r="U5" s="14" t="s">
        <v>78</v>
      </c>
      <c r="V5" s="14" t="s">
        <v>78</v>
      </c>
      <c r="W5" s="14" t="s">
        <v>78</v>
      </c>
      <c r="X5" s="14" t="s">
        <v>79</v>
      </c>
      <c r="Y5" s="14" t="s">
        <v>78</v>
      </c>
      <c r="Z5" s="14" t="s">
        <v>78</v>
      </c>
      <c r="AA5" s="14" t="s">
        <v>77</v>
      </c>
      <c r="AB5" s="14" t="s">
        <v>78</v>
      </c>
      <c r="AC5" s="14" t="s">
        <v>78</v>
      </c>
      <c r="AD5" s="14" t="s">
        <v>78</v>
      </c>
      <c r="AE5" s="14" t="s">
        <v>78</v>
      </c>
      <c r="AF5" s="14" t="s">
        <v>78</v>
      </c>
      <c r="AG5" s="14" t="s">
        <v>78</v>
      </c>
      <c r="AH5" s="14" t="s">
        <v>77</v>
      </c>
      <c r="AI5" s="14" t="s">
        <v>78</v>
      </c>
      <c r="AJ5" s="14" t="s">
        <v>78</v>
      </c>
      <c r="AK5" s="14">
        <f t="shared" si="0"/>
        <v>25</v>
      </c>
      <c r="AL5" s="14">
        <f t="shared" si="1"/>
        <v>24</v>
      </c>
      <c r="AM5" s="14">
        <f t="shared" si="2"/>
        <v>1</v>
      </c>
      <c r="AN5" s="14">
        <f t="shared" si="3"/>
        <v>5</v>
      </c>
      <c r="AO5" s="14">
        <f t="shared" si="4"/>
        <v>0</v>
      </c>
      <c r="AP5" s="14">
        <f t="shared" si="5"/>
        <v>0</v>
      </c>
      <c r="AQ5" s="14">
        <f t="shared" si="6"/>
        <v>0</v>
      </c>
      <c r="AR5" s="14">
        <f t="shared" si="7"/>
        <v>24800</v>
      </c>
    </row>
    <row r="6" spans="1:44" ht="14.5" x14ac:dyDescent="0.35">
      <c r="A6" s="2" t="s">
        <v>53</v>
      </c>
      <c r="B6" s="2" t="s">
        <v>54</v>
      </c>
      <c r="C6" s="2" t="s">
        <v>55</v>
      </c>
      <c r="D6" s="4">
        <v>55000</v>
      </c>
      <c r="E6" s="6">
        <v>45658</v>
      </c>
      <c r="F6" s="14" t="s">
        <v>77</v>
      </c>
      <c r="G6" s="14" t="s">
        <v>78</v>
      </c>
      <c r="H6" s="14" t="s">
        <v>78</v>
      </c>
      <c r="I6" s="14" t="s">
        <v>78</v>
      </c>
      <c r="J6" s="14" t="s">
        <v>78</v>
      </c>
      <c r="K6" s="14" t="s">
        <v>78</v>
      </c>
      <c r="L6" s="14" t="s">
        <v>78</v>
      </c>
      <c r="M6" s="14" t="s">
        <v>77</v>
      </c>
      <c r="N6" s="14" t="s">
        <v>78</v>
      </c>
      <c r="O6" s="14" t="s">
        <v>78</v>
      </c>
      <c r="P6" s="14" t="s">
        <v>78</v>
      </c>
      <c r="Q6" s="14" t="s">
        <v>78</v>
      </c>
      <c r="R6" s="14" t="s">
        <v>78</v>
      </c>
      <c r="S6" s="14" t="s">
        <v>78</v>
      </c>
      <c r="T6" s="14" t="s">
        <v>77</v>
      </c>
      <c r="U6" s="14" t="s">
        <v>78</v>
      </c>
      <c r="V6" s="14" t="s">
        <v>78</v>
      </c>
      <c r="W6" s="14" t="s">
        <v>78</v>
      </c>
      <c r="X6" s="14" t="s">
        <v>79</v>
      </c>
      <c r="Y6" s="14" t="s">
        <v>78</v>
      </c>
      <c r="Z6" s="14" t="s">
        <v>78</v>
      </c>
      <c r="AA6" s="14" t="s">
        <v>77</v>
      </c>
      <c r="AB6" s="14" t="s">
        <v>78</v>
      </c>
      <c r="AC6" s="14" t="s">
        <v>78</v>
      </c>
      <c r="AD6" s="14" t="s">
        <v>78</v>
      </c>
      <c r="AE6" s="14" t="s">
        <v>78</v>
      </c>
      <c r="AF6" s="14" t="s">
        <v>78</v>
      </c>
      <c r="AG6" s="14" t="s">
        <v>78</v>
      </c>
      <c r="AH6" s="14" t="s">
        <v>77</v>
      </c>
      <c r="AI6" s="14" t="s">
        <v>78</v>
      </c>
      <c r="AJ6" s="14" t="s">
        <v>78</v>
      </c>
      <c r="AK6" s="14">
        <f t="shared" si="0"/>
        <v>25</v>
      </c>
      <c r="AL6" s="14">
        <f t="shared" si="1"/>
        <v>24</v>
      </c>
      <c r="AM6" s="14">
        <f t="shared" si="2"/>
        <v>1</v>
      </c>
      <c r="AN6" s="14">
        <f t="shared" si="3"/>
        <v>5</v>
      </c>
      <c r="AO6" s="14">
        <f t="shared" si="4"/>
        <v>0</v>
      </c>
      <c r="AP6" s="14">
        <f t="shared" si="5"/>
        <v>0</v>
      </c>
      <c r="AQ6" s="14">
        <f t="shared" si="6"/>
        <v>0</v>
      </c>
      <c r="AR6" s="14">
        <f t="shared" si="7"/>
        <v>54800</v>
      </c>
    </row>
    <row r="7" spans="1:44" ht="14.5" x14ac:dyDescent="0.35">
      <c r="A7" s="2" t="s">
        <v>56</v>
      </c>
      <c r="B7" s="2" t="s">
        <v>57</v>
      </c>
      <c r="C7" s="2" t="s">
        <v>58</v>
      </c>
      <c r="D7" s="4">
        <v>40000</v>
      </c>
      <c r="E7" s="6">
        <v>45994</v>
      </c>
      <c r="F7" s="14" t="s">
        <v>77</v>
      </c>
      <c r="G7" s="14" t="s">
        <v>78</v>
      </c>
      <c r="H7" s="14" t="s">
        <v>78</v>
      </c>
      <c r="I7" s="14" t="s">
        <v>78</v>
      </c>
      <c r="J7" s="14" t="s">
        <v>78</v>
      </c>
      <c r="K7" s="14" t="s">
        <v>78</v>
      </c>
      <c r="L7" s="14" t="s">
        <v>78</v>
      </c>
      <c r="M7" s="14" t="s">
        <v>77</v>
      </c>
      <c r="N7" s="14" t="s">
        <v>78</v>
      </c>
      <c r="O7" s="14" t="s">
        <v>78</v>
      </c>
      <c r="P7" s="14" t="s">
        <v>78</v>
      </c>
      <c r="Q7" s="14" t="s">
        <v>78</v>
      </c>
      <c r="R7" s="14" t="s">
        <v>78</v>
      </c>
      <c r="S7" s="14" t="s">
        <v>78</v>
      </c>
      <c r="T7" s="14" t="s">
        <v>77</v>
      </c>
      <c r="U7" s="14" t="s">
        <v>78</v>
      </c>
      <c r="V7" s="14" t="s">
        <v>78</v>
      </c>
      <c r="W7" s="14" t="s">
        <v>78</v>
      </c>
      <c r="X7" s="14" t="s">
        <v>79</v>
      </c>
      <c r="Y7" s="14" t="s">
        <v>38</v>
      </c>
      <c r="Z7" s="14" t="s">
        <v>80</v>
      </c>
      <c r="AA7" s="14" t="s">
        <v>77</v>
      </c>
      <c r="AB7" s="14" t="s">
        <v>81</v>
      </c>
      <c r="AC7" s="14" t="s">
        <v>78</v>
      </c>
      <c r="AD7" s="14" t="s">
        <v>78</v>
      </c>
      <c r="AE7" s="14" t="s">
        <v>78</v>
      </c>
      <c r="AF7" s="14" t="s">
        <v>78</v>
      </c>
      <c r="AG7" s="14" t="s">
        <v>78</v>
      </c>
      <c r="AH7" s="14" t="s">
        <v>77</v>
      </c>
      <c r="AI7" s="14" t="s">
        <v>78</v>
      </c>
      <c r="AJ7" s="14" t="s">
        <v>78</v>
      </c>
      <c r="AK7" s="14">
        <f t="shared" si="0"/>
        <v>25</v>
      </c>
      <c r="AL7" s="14">
        <f t="shared" si="1"/>
        <v>21</v>
      </c>
      <c r="AM7" s="14">
        <f t="shared" si="2"/>
        <v>1</v>
      </c>
      <c r="AN7" s="14">
        <f t="shared" si="3"/>
        <v>5</v>
      </c>
      <c r="AO7" s="14">
        <f t="shared" si="4"/>
        <v>1</v>
      </c>
      <c r="AP7" s="14">
        <f t="shared" si="5"/>
        <v>1</v>
      </c>
      <c r="AQ7" s="14">
        <f t="shared" si="6"/>
        <v>1</v>
      </c>
      <c r="AR7" s="14">
        <f t="shared" si="7"/>
        <v>38466.666666666664</v>
      </c>
    </row>
    <row r="8" spans="1:44" ht="14.5" x14ac:dyDescent="0.35">
      <c r="A8" s="2" t="s">
        <v>59</v>
      </c>
      <c r="B8" s="2" t="s">
        <v>60</v>
      </c>
      <c r="C8" s="2" t="s">
        <v>61</v>
      </c>
      <c r="D8" s="4">
        <v>10000</v>
      </c>
      <c r="E8" s="6">
        <v>46000</v>
      </c>
      <c r="F8" s="14" t="s">
        <v>77</v>
      </c>
      <c r="G8" s="14" t="s">
        <v>78</v>
      </c>
      <c r="H8" s="14" t="s">
        <v>78</v>
      </c>
      <c r="I8" s="14" t="s">
        <v>78</v>
      </c>
      <c r="J8" s="14" t="s">
        <v>78</v>
      </c>
      <c r="K8" s="14" t="s">
        <v>78</v>
      </c>
      <c r="L8" s="14" t="s">
        <v>78</v>
      </c>
      <c r="M8" s="14" t="s">
        <v>77</v>
      </c>
      <c r="N8" s="14" t="s">
        <v>78</v>
      </c>
      <c r="O8" s="14" t="s">
        <v>78</v>
      </c>
      <c r="P8" s="14" t="s">
        <v>78</v>
      </c>
      <c r="Q8" s="14" t="s">
        <v>78</v>
      </c>
      <c r="R8" s="14" t="s">
        <v>78</v>
      </c>
      <c r="S8" s="14" t="s">
        <v>78</v>
      </c>
      <c r="T8" s="14" t="s">
        <v>77</v>
      </c>
      <c r="U8" s="14" t="s">
        <v>78</v>
      </c>
      <c r="V8" s="14" t="s">
        <v>78</v>
      </c>
      <c r="W8" s="14" t="s">
        <v>78</v>
      </c>
      <c r="X8" s="14" t="s">
        <v>79</v>
      </c>
      <c r="Y8" s="14" t="s">
        <v>78</v>
      </c>
      <c r="Z8" s="14" t="s">
        <v>78</v>
      </c>
      <c r="AA8" s="14" t="s">
        <v>77</v>
      </c>
      <c r="AB8" s="14" t="s">
        <v>78</v>
      </c>
      <c r="AC8" s="14" t="s">
        <v>78</v>
      </c>
      <c r="AD8" s="14" t="s">
        <v>78</v>
      </c>
      <c r="AE8" s="14" t="s">
        <v>78</v>
      </c>
      <c r="AF8" s="14" t="s">
        <v>78</v>
      </c>
      <c r="AG8" s="14" t="s">
        <v>78</v>
      </c>
      <c r="AH8" s="14" t="s">
        <v>77</v>
      </c>
      <c r="AI8" s="14" t="s">
        <v>78</v>
      </c>
      <c r="AJ8" s="14" t="s">
        <v>78</v>
      </c>
      <c r="AK8" s="14">
        <f t="shared" si="0"/>
        <v>25</v>
      </c>
      <c r="AL8" s="14">
        <f t="shared" si="1"/>
        <v>24</v>
      </c>
      <c r="AM8" s="14">
        <f t="shared" si="2"/>
        <v>1</v>
      </c>
      <c r="AN8" s="14">
        <f t="shared" si="3"/>
        <v>5</v>
      </c>
      <c r="AO8" s="14">
        <f t="shared" si="4"/>
        <v>0</v>
      </c>
      <c r="AP8" s="14">
        <f t="shared" si="5"/>
        <v>0</v>
      </c>
      <c r="AQ8" s="14">
        <f t="shared" si="6"/>
        <v>0</v>
      </c>
      <c r="AR8" s="14">
        <f t="shared" si="7"/>
        <v>9800</v>
      </c>
    </row>
    <row r="9" spans="1:44" ht="14.5" x14ac:dyDescent="0.35">
      <c r="A9" s="2" t="s">
        <v>62</v>
      </c>
      <c r="B9" s="2" t="s">
        <v>63</v>
      </c>
      <c r="C9" s="2" t="s">
        <v>64</v>
      </c>
      <c r="D9" s="4">
        <v>40000</v>
      </c>
      <c r="E9" s="6">
        <v>45818</v>
      </c>
      <c r="F9" s="14" t="s">
        <v>77</v>
      </c>
      <c r="G9" s="14" t="s">
        <v>78</v>
      </c>
      <c r="H9" s="14" t="s">
        <v>78</v>
      </c>
      <c r="I9" s="14" t="s">
        <v>78</v>
      </c>
      <c r="J9" s="14" t="s">
        <v>78</v>
      </c>
      <c r="K9" s="14" t="s">
        <v>78</v>
      </c>
      <c r="L9" s="14" t="s">
        <v>78</v>
      </c>
      <c r="M9" s="14" t="s">
        <v>77</v>
      </c>
      <c r="N9" s="14" t="s">
        <v>78</v>
      </c>
      <c r="O9" s="14" t="s">
        <v>78</v>
      </c>
      <c r="P9" s="14" t="s">
        <v>78</v>
      </c>
      <c r="Q9" s="14" t="s">
        <v>78</v>
      </c>
      <c r="R9" s="14" t="s">
        <v>78</v>
      </c>
      <c r="S9" s="14" t="s">
        <v>78</v>
      </c>
      <c r="T9" s="14" t="s">
        <v>77</v>
      </c>
      <c r="U9" s="14" t="s">
        <v>78</v>
      </c>
      <c r="V9" s="14" t="s">
        <v>78</v>
      </c>
      <c r="W9" s="14" t="s">
        <v>78</v>
      </c>
      <c r="X9" s="14" t="s">
        <v>79</v>
      </c>
      <c r="Y9" s="14" t="s">
        <v>78</v>
      </c>
      <c r="Z9" s="14" t="s">
        <v>78</v>
      </c>
      <c r="AA9" s="14" t="s">
        <v>77</v>
      </c>
      <c r="AB9" s="14" t="s">
        <v>78</v>
      </c>
      <c r="AC9" s="14" t="s">
        <v>78</v>
      </c>
      <c r="AD9" s="14" t="s">
        <v>78</v>
      </c>
      <c r="AE9" s="14" t="s">
        <v>78</v>
      </c>
      <c r="AF9" s="14" t="s">
        <v>78</v>
      </c>
      <c r="AG9" s="14" t="s">
        <v>78</v>
      </c>
      <c r="AH9" s="14" t="s">
        <v>77</v>
      </c>
      <c r="AI9" s="14" t="s">
        <v>78</v>
      </c>
      <c r="AJ9" s="14" t="s">
        <v>78</v>
      </c>
      <c r="AK9" s="14">
        <f t="shared" si="0"/>
        <v>25</v>
      </c>
      <c r="AL9" s="14">
        <f t="shared" si="1"/>
        <v>24</v>
      </c>
      <c r="AM9" s="14">
        <f t="shared" si="2"/>
        <v>1</v>
      </c>
      <c r="AN9" s="14">
        <f t="shared" si="3"/>
        <v>5</v>
      </c>
      <c r="AO9" s="14">
        <f t="shared" si="4"/>
        <v>0</v>
      </c>
      <c r="AP9" s="14">
        <f t="shared" si="5"/>
        <v>0</v>
      </c>
      <c r="AQ9" s="14">
        <f t="shared" si="6"/>
        <v>0</v>
      </c>
      <c r="AR9" s="14">
        <f t="shared" si="7"/>
        <v>39800</v>
      </c>
    </row>
    <row r="10" spans="1:44" ht="14.5" x14ac:dyDescent="0.35">
      <c r="A10" s="2" t="s">
        <v>65</v>
      </c>
      <c r="B10" s="2" t="s">
        <v>66</v>
      </c>
      <c r="C10" s="2" t="s">
        <v>67</v>
      </c>
      <c r="D10" s="4">
        <v>15000</v>
      </c>
      <c r="E10" s="15">
        <v>45881</v>
      </c>
      <c r="F10" s="14" t="s">
        <v>77</v>
      </c>
      <c r="G10" s="14" t="s">
        <v>78</v>
      </c>
      <c r="H10" s="14" t="s">
        <v>78</v>
      </c>
      <c r="I10" s="14" t="s">
        <v>78</v>
      </c>
      <c r="J10" s="14" t="s">
        <v>78</v>
      </c>
      <c r="K10" s="14" t="s">
        <v>78</v>
      </c>
      <c r="L10" s="14" t="s">
        <v>78</v>
      </c>
      <c r="M10" s="14" t="s">
        <v>77</v>
      </c>
      <c r="N10" s="14" t="s">
        <v>78</v>
      </c>
      <c r="O10" s="14" t="s">
        <v>78</v>
      </c>
      <c r="P10" s="14" t="s">
        <v>78</v>
      </c>
      <c r="Q10" s="14" t="s">
        <v>78</v>
      </c>
      <c r="R10" s="14" t="s">
        <v>78</v>
      </c>
      <c r="S10" s="14" t="s">
        <v>78</v>
      </c>
      <c r="T10" s="14" t="s">
        <v>77</v>
      </c>
      <c r="U10" s="14" t="s">
        <v>78</v>
      </c>
      <c r="V10" s="14" t="s">
        <v>78</v>
      </c>
      <c r="W10" s="14" t="s">
        <v>78</v>
      </c>
      <c r="X10" s="14" t="s">
        <v>79</v>
      </c>
      <c r="Y10" s="14" t="s">
        <v>78</v>
      </c>
      <c r="Z10" s="14" t="s">
        <v>78</v>
      </c>
      <c r="AA10" s="14" t="s">
        <v>77</v>
      </c>
      <c r="AB10" s="14" t="s">
        <v>78</v>
      </c>
      <c r="AC10" s="14" t="s">
        <v>78</v>
      </c>
      <c r="AD10" s="14" t="s">
        <v>78</v>
      </c>
      <c r="AE10" s="14" t="s">
        <v>78</v>
      </c>
      <c r="AF10" s="14" t="s">
        <v>78</v>
      </c>
      <c r="AG10" s="14" t="s">
        <v>78</v>
      </c>
      <c r="AH10" s="14" t="s">
        <v>77</v>
      </c>
      <c r="AI10" s="14" t="s">
        <v>78</v>
      </c>
      <c r="AJ10" s="14" t="s">
        <v>78</v>
      </c>
      <c r="AK10" s="14">
        <f t="shared" si="0"/>
        <v>25</v>
      </c>
      <c r="AL10" s="14">
        <f t="shared" si="1"/>
        <v>24</v>
      </c>
      <c r="AM10" s="14">
        <f t="shared" si="2"/>
        <v>1</v>
      </c>
      <c r="AN10" s="14">
        <f t="shared" si="3"/>
        <v>5</v>
      </c>
      <c r="AO10" s="14">
        <f t="shared" si="4"/>
        <v>0</v>
      </c>
      <c r="AP10" s="14">
        <f t="shared" si="5"/>
        <v>0</v>
      </c>
      <c r="AQ10" s="14">
        <f t="shared" si="6"/>
        <v>0</v>
      </c>
      <c r="AR10" s="14">
        <f t="shared" si="7"/>
        <v>14800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A1:A2"/>
    <mergeCell ref="B1:B2"/>
    <mergeCell ref="C1:C2"/>
    <mergeCell ref="D1:D2"/>
    <mergeCell ref="E1:E2"/>
  </mergeCells>
  <dataValidations count="1">
    <dataValidation type="list" allowBlank="1" sqref="F3:AJ10" xr:uid="{00000000-0002-0000-0200-000000000000}">
      <formula1>"P,A,S,CL,SL,H"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001"/>
  <sheetViews>
    <sheetView workbookViewId="0"/>
  </sheetViews>
  <sheetFormatPr defaultColWidth="14.453125" defaultRowHeight="15" customHeight="1" x14ac:dyDescent="0.35"/>
  <cols>
    <col min="1" max="1" width="22.08984375" customWidth="1"/>
    <col min="2" max="2" width="26.453125" customWidth="1"/>
    <col min="3" max="3" width="33.7265625" customWidth="1"/>
    <col min="4" max="4" width="8.7265625" customWidth="1"/>
    <col min="5" max="5" width="17" customWidth="1"/>
    <col min="6" max="35" width="8.7265625" customWidth="1"/>
    <col min="36" max="36" width="20.26953125" customWidth="1"/>
    <col min="37" max="37" width="15.08984375" customWidth="1"/>
    <col min="38" max="40" width="8.7265625" customWidth="1"/>
    <col min="41" max="41" width="15.08984375" customWidth="1"/>
    <col min="42" max="43" width="8.7265625" customWidth="1"/>
  </cols>
  <sheetData>
    <row r="1" spans="1:43" ht="14.5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36</v>
      </c>
      <c r="AK1" s="12" t="s">
        <v>37</v>
      </c>
      <c r="AL1" s="12" t="s">
        <v>68</v>
      </c>
      <c r="AM1" s="12" t="s">
        <v>69</v>
      </c>
      <c r="AN1" s="12" t="s">
        <v>38</v>
      </c>
      <c r="AO1" s="12" t="s">
        <v>39</v>
      </c>
      <c r="AP1" s="12" t="s">
        <v>40</v>
      </c>
      <c r="AQ1" s="12" t="s">
        <v>41</v>
      </c>
    </row>
    <row r="2" spans="1:43" ht="14.5" x14ac:dyDescent="0.35">
      <c r="A2" s="19"/>
      <c r="B2" s="19"/>
      <c r="C2" s="19"/>
      <c r="D2" s="19"/>
      <c r="E2" s="19"/>
      <c r="F2" s="12" t="s">
        <v>82</v>
      </c>
      <c r="G2" s="12" t="s">
        <v>83</v>
      </c>
      <c r="H2" s="12" t="s">
        <v>84</v>
      </c>
      <c r="I2" s="12" t="s">
        <v>85</v>
      </c>
      <c r="J2" s="12" t="s">
        <v>86</v>
      </c>
      <c r="K2" s="12" t="s">
        <v>87</v>
      </c>
      <c r="L2" s="12" t="s">
        <v>88</v>
      </c>
      <c r="M2" s="12" t="s">
        <v>82</v>
      </c>
      <c r="N2" s="12" t="s">
        <v>83</v>
      </c>
      <c r="O2" s="12" t="s">
        <v>84</v>
      </c>
      <c r="P2" s="12" t="s">
        <v>85</v>
      </c>
      <c r="Q2" s="12" t="s">
        <v>86</v>
      </c>
      <c r="R2" s="12" t="s">
        <v>87</v>
      </c>
      <c r="S2" s="12" t="s">
        <v>88</v>
      </c>
      <c r="T2" s="12" t="s">
        <v>82</v>
      </c>
      <c r="U2" s="12" t="s">
        <v>83</v>
      </c>
      <c r="V2" s="12" t="s">
        <v>84</v>
      </c>
      <c r="W2" s="12" t="s">
        <v>85</v>
      </c>
      <c r="X2" s="12" t="s">
        <v>86</v>
      </c>
      <c r="Y2" s="12" t="s">
        <v>87</v>
      </c>
      <c r="Z2" s="12" t="s">
        <v>88</v>
      </c>
      <c r="AA2" s="12" t="s">
        <v>82</v>
      </c>
      <c r="AB2" s="12" t="s">
        <v>83</v>
      </c>
      <c r="AC2" s="12" t="s">
        <v>84</v>
      </c>
      <c r="AD2" s="12" t="s">
        <v>85</v>
      </c>
      <c r="AE2" s="12" t="s">
        <v>86</v>
      </c>
      <c r="AF2" s="12" t="s">
        <v>87</v>
      </c>
      <c r="AG2" s="12" t="s">
        <v>88</v>
      </c>
      <c r="AH2" s="12" t="s">
        <v>82</v>
      </c>
      <c r="AI2" s="12" t="s">
        <v>83</v>
      </c>
      <c r="AJ2" s="13"/>
      <c r="AK2" s="13"/>
      <c r="AL2" s="13"/>
      <c r="AM2" s="13"/>
      <c r="AN2" s="13"/>
      <c r="AO2" s="13"/>
      <c r="AP2" s="13"/>
      <c r="AQ2" s="13"/>
    </row>
    <row r="3" spans="1:43" ht="14.5" x14ac:dyDescent="0.35">
      <c r="A3" s="2" t="s">
        <v>42</v>
      </c>
      <c r="B3" s="2" t="s">
        <v>43</v>
      </c>
      <c r="C3" s="2" t="s">
        <v>44</v>
      </c>
      <c r="D3" s="4">
        <v>100000</v>
      </c>
      <c r="E3" s="3" t="s">
        <v>45</v>
      </c>
      <c r="F3" s="14" t="s">
        <v>78</v>
      </c>
      <c r="G3" s="14" t="s">
        <v>78</v>
      </c>
      <c r="H3" s="14" t="s">
        <v>78</v>
      </c>
      <c r="I3" s="14" t="s">
        <v>78</v>
      </c>
      <c r="J3" s="14" t="s">
        <v>77</v>
      </c>
      <c r="K3" s="14" t="s">
        <v>78</v>
      </c>
      <c r="L3" s="14" t="s">
        <v>78</v>
      </c>
      <c r="M3" s="14" t="s">
        <v>78</v>
      </c>
      <c r="N3" s="14" t="s">
        <v>78</v>
      </c>
      <c r="O3" s="14" t="s">
        <v>78</v>
      </c>
      <c r="P3" s="14" t="s">
        <v>78</v>
      </c>
      <c r="Q3" s="14" t="s">
        <v>77</v>
      </c>
      <c r="R3" s="14" t="s">
        <v>78</v>
      </c>
      <c r="S3" s="14" t="s">
        <v>79</v>
      </c>
      <c r="T3" s="14" t="s">
        <v>78</v>
      </c>
      <c r="U3" s="14" t="s">
        <v>78</v>
      </c>
      <c r="V3" s="14" t="s">
        <v>78</v>
      </c>
      <c r="W3" s="14" t="s">
        <v>78</v>
      </c>
      <c r="X3" s="14" t="s">
        <v>77</v>
      </c>
      <c r="Y3" s="14" t="s">
        <v>78</v>
      </c>
      <c r="Z3" s="14" t="s">
        <v>78</v>
      </c>
      <c r="AA3" s="14" t="s">
        <v>78</v>
      </c>
      <c r="AB3" s="14" t="s">
        <v>78</v>
      </c>
      <c r="AC3" s="14" t="s">
        <v>78</v>
      </c>
      <c r="AD3" s="14" t="s">
        <v>78</v>
      </c>
      <c r="AE3" s="14" t="s">
        <v>77</v>
      </c>
      <c r="AF3" s="14" t="s">
        <v>78</v>
      </c>
      <c r="AG3" s="14" t="s">
        <v>78</v>
      </c>
      <c r="AH3" s="14" t="s">
        <v>78</v>
      </c>
      <c r="AI3" s="14" t="s">
        <v>78</v>
      </c>
      <c r="AJ3" s="14">
        <f t="shared" ref="AJ3:AJ10" si="0">COUNTIF(F3:AI3,"&lt;&gt;S")</f>
        <v>26</v>
      </c>
      <c r="AK3" s="14">
        <f t="shared" ref="AK3:AK10" si="1">COUNTIF(F3:AI3,"P")</f>
        <v>25</v>
      </c>
      <c r="AL3" s="14">
        <f t="shared" ref="AL3:AL10" si="2">COUNTIF(F3:AI3,"H")</f>
        <v>1</v>
      </c>
      <c r="AM3" s="14">
        <f t="shared" ref="AM3:AM10" si="3">COUNTIF(F3:AI3,"S")</f>
        <v>4</v>
      </c>
      <c r="AN3" s="14">
        <f t="shared" ref="AN3:AN10" si="4">COUNTIF(F3:AI3,"CL")</f>
        <v>0</v>
      </c>
      <c r="AO3" s="14">
        <f t="shared" ref="AO3:AO10" si="5">COUNTIF(F3:AI3,"SL")</f>
        <v>0</v>
      </c>
      <c r="AP3" s="14">
        <f t="shared" ref="AP3:AP10" si="6">COUNTIF(F3:AI3,"A")</f>
        <v>0</v>
      </c>
      <c r="AQ3" s="14">
        <f t="shared" ref="AQ3:AQ10" si="7">(D3/30) * (
VALUE(AK3) + VALUE(AM3) + VALUE(AL3) +
MIN(VALUE(AN3),1) + MIN(VALUE(AO3),1)
) - 200</f>
        <v>99800</v>
      </c>
    </row>
    <row r="4" spans="1:43" ht="14.5" x14ac:dyDescent="0.35">
      <c r="A4" s="2" t="s">
        <v>46</v>
      </c>
      <c r="B4" s="2" t="s">
        <v>47</v>
      </c>
      <c r="C4" s="2" t="s">
        <v>48</v>
      </c>
      <c r="D4" s="4">
        <v>15000</v>
      </c>
      <c r="E4" s="6">
        <v>45051</v>
      </c>
      <c r="F4" s="14" t="s">
        <v>78</v>
      </c>
      <c r="G4" s="14" t="s">
        <v>78</v>
      </c>
      <c r="H4" s="14" t="s">
        <v>78</v>
      </c>
      <c r="I4" s="14" t="s">
        <v>78</v>
      </c>
      <c r="J4" s="14" t="s">
        <v>77</v>
      </c>
      <c r="K4" s="14" t="s">
        <v>78</v>
      </c>
      <c r="L4" s="14" t="s">
        <v>78</v>
      </c>
      <c r="M4" s="14" t="s">
        <v>78</v>
      </c>
      <c r="N4" s="14" t="s">
        <v>78</v>
      </c>
      <c r="O4" s="14" t="s">
        <v>78</v>
      </c>
      <c r="P4" s="14" t="s">
        <v>78</v>
      </c>
      <c r="Q4" s="14" t="s">
        <v>77</v>
      </c>
      <c r="R4" s="14" t="s">
        <v>78</v>
      </c>
      <c r="S4" s="14" t="s">
        <v>79</v>
      </c>
      <c r="T4" s="14" t="s">
        <v>78</v>
      </c>
      <c r="U4" s="14" t="s">
        <v>78</v>
      </c>
      <c r="V4" s="14" t="s">
        <v>78</v>
      </c>
      <c r="W4" s="14" t="s">
        <v>78</v>
      </c>
      <c r="X4" s="14" t="s">
        <v>77</v>
      </c>
      <c r="Y4" s="14" t="s">
        <v>78</v>
      </c>
      <c r="Z4" s="14" t="s">
        <v>78</v>
      </c>
      <c r="AA4" s="14" t="s">
        <v>78</v>
      </c>
      <c r="AB4" s="14" t="s">
        <v>78</v>
      </c>
      <c r="AC4" s="14" t="s">
        <v>78</v>
      </c>
      <c r="AD4" s="14" t="s">
        <v>78</v>
      </c>
      <c r="AE4" s="14" t="s">
        <v>77</v>
      </c>
      <c r="AF4" s="14" t="s">
        <v>78</v>
      </c>
      <c r="AG4" s="14" t="s">
        <v>78</v>
      </c>
      <c r="AH4" s="14" t="s">
        <v>78</v>
      </c>
      <c r="AI4" s="14" t="s">
        <v>78</v>
      </c>
      <c r="AJ4" s="14">
        <f t="shared" si="0"/>
        <v>26</v>
      </c>
      <c r="AK4" s="14">
        <f t="shared" si="1"/>
        <v>25</v>
      </c>
      <c r="AL4" s="14">
        <f t="shared" si="2"/>
        <v>1</v>
      </c>
      <c r="AM4" s="14">
        <f t="shared" si="3"/>
        <v>4</v>
      </c>
      <c r="AN4" s="14">
        <f t="shared" si="4"/>
        <v>0</v>
      </c>
      <c r="AO4" s="14">
        <f t="shared" si="5"/>
        <v>0</v>
      </c>
      <c r="AP4" s="14">
        <f t="shared" si="6"/>
        <v>0</v>
      </c>
      <c r="AQ4" s="14">
        <f t="shared" si="7"/>
        <v>14800</v>
      </c>
    </row>
    <row r="5" spans="1:43" ht="14.5" x14ac:dyDescent="0.35">
      <c r="A5" s="2" t="s">
        <v>49</v>
      </c>
      <c r="B5" s="2" t="s">
        <v>50</v>
      </c>
      <c r="C5" s="2" t="s">
        <v>51</v>
      </c>
      <c r="D5" s="4">
        <v>25000</v>
      </c>
      <c r="E5" s="3" t="s">
        <v>52</v>
      </c>
      <c r="F5" s="14" t="s">
        <v>78</v>
      </c>
      <c r="G5" s="14" t="s">
        <v>78</v>
      </c>
      <c r="H5" s="14" t="s">
        <v>78</v>
      </c>
      <c r="I5" s="14" t="s">
        <v>78</v>
      </c>
      <c r="J5" s="14" t="s">
        <v>77</v>
      </c>
      <c r="K5" s="14" t="s">
        <v>78</v>
      </c>
      <c r="L5" s="14" t="s">
        <v>78</v>
      </c>
      <c r="M5" s="14" t="s">
        <v>78</v>
      </c>
      <c r="N5" s="14" t="s">
        <v>78</v>
      </c>
      <c r="O5" s="14" t="s">
        <v>78</v>
      </c>
      <c r="P5" s="14" t="s">
        <v>78</v>
      </c>
      <c r="Q5" s="14" t="s">
        <v>77</v>
      </c>
      <c r="R5" s="14" t="s">
        <v>78</v>
      </c>
      <c r="S5" s="14" t="s">
        <v>79</v>
      </c>
      <c r="T5" s="14" t="s">
        <v>78</v>
      </c>
      <c r="U5" s="14" t="s">
        <v>78</v>
      </c>
      <c r="V5" s="14" t="s">
        <v>78</v>
      </c>
      <c r="W5" s="14" t="s">
        <v>78</v>
      </c>
      <c r="X5" s="14" t="s">
        <v>77</v>
      </c>
      <c r="Y5" s="14" t="s">
        <v>78</v>
      </c>
      <c r="Z5" s="14" t="s">
        <v>38</v>
      </c>
      <c r="AA5" s="14" t="s">
        <v>78</v>
      </c>
      <c r="AB5" s="14" t="s">
        <v>78</v>
      </c>
      <c r="AC5" s="14" t="s">
        <v>78</v>
      </c>
      <c r="AD5" s="14" t="s">
        <v>78</v>
      </c>
      <c r="AE5" s="14" t="s">
        <v>77</v>
      </c>
      <c r="AF5" s="14" t="s">
        <v>78</v>
      </c>
      <c r="AG5" s="14" t="s">
        <v>78</v>
      </c>
      <c r="AH5" s="14" t="s">
        <v>78</v>
      </c>
      <c r="AI5" s="14" t="s">
        <v>78</v>
      </c>
      <c r="AJ5" s="14">
        <f t="shared" si="0"/>
        <v>26</v>
      </c>
      <c r="AK5" s="14">
        <f t="shared" si="1"/>
        <v>24</v>
      </c>
      <c r="AL5" s="14">
        <f t="shared" si="2"/>
        <v>1</v>
      </c>
      <c r="AM5" s="14">
        <f t="shared" si="3"/>
        <v>4</v>
      </c>
      <c r="AN5" s="14">
        <f t="shared" si="4"/>
        <v>1</v>
      </c>
      <c r="AO5" s="14">
        <f t="shared" si="5"/>
        <v>0</v>
      </c>
      <c r="AP5" s="14">
        <f t="shared" si="6"/>
        <v>0</v>
      </c>
      <c r="AQ5" s="14">
        <f t="shared" si="7"/>
        <v>24800</v>
      </c>
    </row>
    <row r="6" spans="1:43" ht="14.5" x14ac:dyDescent="0.35">
      <c r="A6" s="2" t="s">
        <v>53</v>
      </c>
      <c r="B6" s="2" t="s">
        <v>54</v>
      </c>
      <c r="C6" s="2" t="s">
        <v>55</v>
      </c>
      <c r="D6" s="4">
        <v>55000</v>
      </c>
      <c r="E6" s="6">
        <v>45658</v>
      </c>
      <c r="F6" s="14" t="s">
        <v>78</v>
      </c>
      <c r="G6" s="14" t="s">
        <v>78</v>
      </c>
      <c r="H6" s="14" t="s">
        <v>78</v>
      </c>
      <c r="I6" s="14" t="s">
        <v>78</v>
      </c>
      <c r="J6" s="14" t="s">
        <v>77</v>
      </c>
      <c r="K6" s="14" t="s">
        <v>78</v>
      </c>
      <c r="L6" s="14" t="s">
        <v>78</v>
      </c>
      <c r="M6" s="14" t="s">
        <v>78</v>
      </c>
      <c r="N6" s="14" t="s">
        <v>78</v>
      </c>
      <c r="O6" s="14" t="s">
        <v>78</v>
      </c>
      <c r="P6" s="14" t="s">
        <v>78</v>
      </c>
      <c r="Q6" s="14" t="s">
        <v>77</v>
      </c>
      <c r="R6" s="14" t="s">
        <v>78</v>
      </c>
      <c r="S6" s="14" t="s">
        <v>79</v>
      </c>
      <c r="T6" s="14" t="s">
        <v>78</v>
      </c>
      <c r="U6" s="14" t="s">
        <v>78</v>
      </c>
      <c r="V6" s="14" t="s">
        <v>78</v>
      </c>
      <c r="W6" s="14" t="s">
        <v>78</v>
      </c>
      <c r="X6" s="14" t="s">
        <v>77</v>
      </c>
      <c r="Y6" s="14" t="s">
        <v>78</v>
      </c>
      <c r="Z6" s="14" t="s">
        <v>78</v>
      </c>
      <c r="AA6" s="14" t="s">
        <v>78</v>
      </c>
      <c r="AB6" s="14" t="s">
        <v>78</v>
      </c>
      <c r="AC6" s="14" t="s">
        <v>78</v>
      </c>
      <c r="AD6" s="14" t="s">
        <v>78</v>
      </c>
      <c r="AE6" s="14" t="s">
        <v>77</v>
      </c>
      <c r="AF6" s="14" t="s">
        <v>78</v>
      </c>
      <c r="AG6" s="14" t="s">
        <v>78</v>
      </c>
      <c r="AH6" s="14" t="s">
        <v>78</v>
      </c>
      <c r="AI6" s="14" t="s">
        <v>78</v>
      </c>
      <c r="AJ6" s="14">
        <f t="shared" si="0"/>
        <v>26</v>
      </c>
      <c r="AK6" s="14">
        <f t="shared" si="1"/>
        <v>25</v>
      </c>
      <c r="AL6" s="14">
        <f t="shared" si="2"/>
        <v>1</v>
      </c>
      <c r="AM6" s="14">
        <f t="shared" si="3"/>
        <v>4</v>
      </c>
      <c r="AN6" s="14">
        <f t="shared" si="4"/>
        <v>0</v>
      </c>
      <c r="AO6" s="14">
        <f t="shared" si="5"/>
        <v>0</v>
      </c>
      <c r="AP6" s="14">
        <f t="shared" si="6"/>
        <v>0</v>
      </c>
      <c r="AQ6" s="14">
        <f t="shared" si="7"/>
        <v>54800</v>
      </c>
    </row>
    <row r="7" spans="1:43" ht="14.5" x14ac:dyDescent="0.35">
      <c r="A7" s="2" t="s">
        <v>56</v>
      </c>
      <c r="B7" s="2" t="s">
        <v>57</v>
      </c>
      <c r="C7" s="2" t="s">
        <v>58</v>
      </c>
      <c r="D7" s="4">
        <v>40000</v>
      </c>
      <c r="E7" s="6">
        <v>45994</v>
      </c>
      <c r="F7" s="14" t="s">
        <v>78</v>
      </c>
      <c r="G7" s="14" t="s">
        <v>78</v>
      </c>
      <c r="H7" s="14" t="s">
        <v>78</v>
      </c>
      <c r="I7" s="14" t="s">
        <v>78</v>
      </c>
      <c r="J7" s="14" t="s">
        <v>77</v>
      </c>
      <c r="K7" s="14" t="s">
        <v>78</v>
      </c>
      <c r="L7" s="14" t="s">
        <v>78</v>
      </c>
      <c r="M7" s="14" t="s">
        <v>80</v>
      </c>
      <c r="N7" s="14" t="s">
        <v>38</v>
      </c>
      <c r="O7" s="14" t="s">
        <v>78</v>
      </c>
      <c r="P7" s="14" t="s">
        <v>78</v>
      </c>
      <c r="Q7" s="14" t="s">
        <v>77</v>
      </c>
      <c r="R7" s="14" t="s">
        <v>78</v>
      </c>
      <c r="S7" s="14" t="s">
        <v>79</v>
      </c>
      <c r="T7" s="14" t="s">
        <v>78</v>
      </c>
      <c r="U7" s="14" t="s">
        <v>78</v>
      </c>
      <c r="V7" s="14" t="s">
        <v>78</v>
      </c>
      <c r="W7" s="14" t="s">
        <v>78</v>
      </c>
      <c r="X7" s="14" t="s">
        <v>77</v>
      </c>
      <c r="Y7" s="14" t="s">
        <v>78</v>
      </c>
      <c r="Z7" s="14" t="s">
        <v>78</v>
      </c>
      <c r="AA7" s="14" t="s">
        <v>78</v>
      </c>
      <c r="AB7" s="14" t="s">
        <v>78</v>
      </c>
      <c r="AC7" s="14" t="s">
        <v>78</v>
      </c>
      <c r="AD7" s="14" t="s">
        <v>78</v>
      </c>
      <c r="AE7" s="14" t="s">
        <v>77</v>
      </c>
      <c r="AF7" s="14" t="s">
        <v>78</v>
      </c>
      <c r="AG7" s="14" t="s">
        <v>78</v>
      </c>
      <c r="AH7" s="14" t="s">
        <v>78</v>
      </c>
      <c r="AI7" s="14" t="s">
        <v>78</v>
      </c>
      <c r="AJ7" s="14">
        <f t="shared" si="0"/>
        <v>26</v>
      </c>
      <c r="AK7" s="14">
        <f t="shared" si="1"/>
        <v>23</v>
      </c>
      <c r="AL7" s="14">
        <f t="shared" si="2"/>
        <v>1</v>
      </c>
      <c r="AM7" s="14">
        <f t="shared" si="3"/>
        <v>4</v>
      </c>
      <c r="AN7" s="14">
        <f t="shared" si="4"/>
        <v>1</v>
      </c>
      <c r="AO7" s="14">
        <f t="shared" si="5"/>
        <v>1</v>
      </c>
      <c r="AP7" s="14">
        <f t="shared" si="6"/>
        <v>0</v>
      </c>
      <c r="AQ7" s="14">
        <f t="shared" si="7"/>
        <v>39800</v>
      </c>
    </row>
    <row r="8" spans="1:43" ht="14.5" x14ac:dyDescent="0.35">
      <c r="A8" s="2" t="s">
        <v>59</v>
      </c>
      <c r="B8" s="2" t="s">
        <v>60</v>
      </c>
      <c r="C8" s="2" t="s">
        <v>61</v>
      </c>
      <c r="D8" s="4">
        <v>15000</v>
      </c>
      <c r="E8" s="6">
        <v>46000</v>
      </c>
      <c r="F8" s="14" t="s">
        <v>78</v>
      </c>
      <c r="G8" s="14" t="s">
        <v>78</v>
      </c>
      <c r="H8" s="14" t="s">
        <v>78</v>
      </c>
      <c r="I8" s="14" t="s">
        <v>78</v>
      </c>
      <c r="J8" s="14" t="s">
        <v>77</v>
      </c>
      <c r="K8" s="14" t="s">
        <v>78</v>
      </c>
      <c r="L8" s="14" t="s">
        <v>78</v>
      </c>
      <c r="M8" s="14" t="s">
        <v>78</v>
      </c>
      <c r="N8" s="14" t="s">
        <v>78</v>
      </c>
      <c r="O8" s="14" t="s">
        <v>78</v>
      </c>
      <c r="P8" s="14" t="s">
        <v>78</v>
      </c>
      <c r="Q8" s="14" t="s">
        <v>77</v>
      </c>
      <c r="R8" s="14" t="s">
        <v>78</v>
      </c>
      <c r="S8" s="14" t="s">
        <v>79</v>
      </c>
      <c r="T8" s="14" t="s">
        <v>78</v>
      </c>
      <c r="U8" s="14" t="s">
        <v>78</v>
      </c>
      <c r="V8" s="14" t="s">
        <v>78</v>
      </c>
      <c r="W8" s="14" t="s">
        <v>78</v>
      </c>
      <c r="X8" s="14" t="s">
        <v>77</v>
      </c>
      <c r="Y8" s="14" t="s">
        <v>78</v>
      </c>
      <c r="Z8" s="14" t="s">
        <v>78</v>
      </c>
      <c r="AA8" s="14" t="s">
        <v>78</v>
      </c>
      <c r="AB8" s="14" t="s">
        <v>78</v>
      </c>
      <c r="AC8" s="14" t="s">
        <v>78</v>
      </c>
      <c r="AD8" s="14" t="s">
        <v>78</v>
      </c>
      <c r="AE8" s="14" t="s">
        <v>77</v>
      </c>
      <c r="AF8" s="14" t="s">
        <v>78</v>
      </c>
      <c r="AG8" s="14" t="s">
        <v>78</v>
      </c>
      <c r="AH8" s="14" t="s">
        <v>78</v>
      </c>
      <c r="AI8" s="14" t="s">
        <v>78</v>
      </c>
      <c r="AJ8" s="14">
        <f t="shared" si="0"/>
        <v>26</v>
      </c>
      <c r="AK8" s="14">
        <f t="shared" si="1"/>
        <v>25</v>
      </c>
      <c r="AL8" s="14">
        <f t="shared" si="2"/>
        <v>1</v>
      </c>
      <c r="AM8" s="14">
        <f t="shared" si="3"/>
        <v>4</v>
      </c>
      <c r="AN8" s="14">
        <f t="shared" si="4"/>
        <v>0</v>
      </c>
      <c r="AO8" s="14">
        <f t="shared" si="5"/>
        <v>0</v>
      </c>
      <c r="AP8" s="14">
        <f t="shared" si="6"/>
        <v>0</v>
      </c>
      <c r="AQ8" s="14">
        <f t="shared" si="7"/>
        <v>14800</v>
      </c>
    </row>
    <row r="9" spans="1:43" ht="14.5" x14ac:dyDescent="0.35">
      <c r="A9" s="2" t="s">
        <v>62</v>
      </c>
      <c r="B9" s="2" t="s">
        <v>63</v>
      </c>
      <c r="C9" s="2" t="s">
        <v>64</v>
      </c>
      <c r="D9" s="4">
        <v>40000</v>
      </c>
      <c r="E9" s="6">
        <v>45818</v>
      </c>
      <c r="F9" s="14" t="s">
        <v>78</v>
      </c>
      <c r="G9" s="14" t="s">
        <v>78</v>
      </c>
      <c r="H9" s="14" t="s">
        <v>78</v>
      </c>
      <c r="I9" s="14" t="s">
        <v>78</v>
      </c>
      <c r="J9" s="14" t="s">
        <v>77</v>
      </c>
      <c r="K9" s="14" t="s">
        <v>78</v>
      </c>
      <c r="L9" s="14" t="s">
        <v>78</v>
      </c>
      <c r="M9" s="14" t="s">
        <v>78</v>
      </c>
      <c r="N9" s="14" t="s">
        <v>78</v>
      </c>
      <c r="O9" s="14" t="s">
        <v>78</v>
      </c>
      <c r="P9" s="14" t="s">
        <v>78</v>
      </c>
      <c r="Q9" s="14" t="s">
        <v>77</v>
      </c>
      <c r="R9" s="14" t="s">
        <v>78</v>
      </c>
      <c r="S9" s="14" t="s">
        <v>79</v>
      </c>
      <c r="T9" s="14" t="s">
        <v>78</v>
      </c>
      <c r="U9" s="14" t="s">
        <v>78</v>
      </c>
      <c r="V9" s="14" t="s">
        <v>78</v>
      </c>
      <c r="W9" s="14" t="s">
        <v>78</v>
      </c>
      <c r="X9" s="14" t="s">
        <v>77</v>
      </c>
      <c r="Y9" s="14" t="s">
        <v>78</v>
      </c>
      <c r="Z9" s="14" t="s">
        <v>78</v>
      </c>
      <c r="AA9" s="14" t="s">
        <v>78</v>
      </c>
      <c r="AB9" s="14" t="s">
        <v>78</v>
      </c>
      <c r="AC9" s="14" t="s">
        <v>78</v>
      </c>
      <c r="AD9" s="14" t="s">
        <v>78</v>
      </c>
      <c r="AE9" s="14" t="s">
        <v>77</v>
      </c>
      <c r="AF9" s="14" t="s">
        <v>78</v>
      </c>
      <c r="AG9" s="14" t="s">
        <v>78</v>
      </c>
      <c r="AH9" s="14" t="s">
        <v>78</v>
      </c>
      <c r="AI9" s="14" t="s">
        <v>78</v>
      </c>
      <c r="AJ9" s="14">
        <f t="shared" si="0"/>
        <v>26</v>
      </c>
      <c r="AK9" s="14">
        <f t="shared" si="1"/>
        <v>25</v>
      </c>
      <c r="AL9" s="14">
        <f t="shared" si="2"/>
        <v>1</v>
      </c>
      <c r="AM9" s="14">
        <f t="shared" si="3"/>
        <v>4</v>
      </c>
      <c r="AN9" s="14">
        <f t="shared" si="4"/>
        <v>0</v>
      </c>
      <c r="AO9" s="14">
        <f t="shared" si="5"/>
        <v>0</v>
      </c>
      <c r="AP9" s="14">
        <f t="shared" si="6"/>
        <v>0</v>
      </c>
      <c r="AQ9" s="14">
        <f t="shared" si="7"/>
        <v>39800</v>
      </c>
    </row>
    <row r="10" spans="1:43" ht="14.5" x14ac:dyDescent="0.35">
      <c r="A10" s="2" t="s">
        <v>65</v>
      </c>
      <c r="B10" s="2" t="s">
        <v>66</v>
      </c>
      <c r="C10" s="2" t="s">
        <v>67</v>
      </c>
      <c r="D10" s="4">
        <v>15000</v>
      </c>
      <c r="E10" s="15">
        <v>45881</v>
      </c>
      <c r="F10" s="14" t="s">
        <v>78</v>
      </c>
      <c r="G10" s="14" t="s">
        <v>78</v>
      </c>
      <c r="H10" s="14" t="s">
        <v>78</v>
      </c>
      <c r="I10" s="14" t="s">
        <v>78</v>
      </c>
      <c r="J10" s="14" t="s">
        <v>77</v>
      </c>
      <c r="K10" s="14" t="s">
        <v>78</v>
      </c>
      <c r="L10" s="14" t="s">
        <v>78</v>
      </c>
      <c r="M10" s="14" t="s">
        <v>78</v>
      </c>
      <c r="N10" s="14" t="s">
        <v>78</v>
      </c>
      <c r="O10" s="14" t="s">
        <v>78</v>
      </c>
      <c r="P10" s="14" t="s">
        <v>78</v>
      </c>
      <c r="Q10" s="14" t="s">
        <v>77</v>
      </c>
      <c r="R10" s="14" t="s">
        <v>78</v>
      </c>
      <c r="S10" s="14" t="s">
        <v>79</v>
      </c>
      <c r="T10" s="14" t="s">
        <v>78</v>
      </c>
      <c r="U10" s="14" t="s">
        <v>78</v>
      </c>
      <c r="V10" s="14" t="s">
        <v>78</v>
      </c>
      <c r="W10" s="14" t="s">
        <v>78</v>
      </c>
      <c r="X10" s="14" t="s">
        <v>77</v>
      </c>
      <c r="Y10" s="14" t="s">
        <v>78</v>
      </c>
      <c r="Z10" s="14" t="s">
        <v>78</v>
      </c>
      <c r="AA10" s="14" t="s">
        <v>78</v>
      </c>
      <c r="AB10" s="14" t="s">
        <v>78</v>
      </c>
      <c r="AC10" s="14" t="s">
        <v>78</v>
      </c>
      <c r="AD10" s="14" t="s">
        <v>78</v>
      </c>
      <c r="AE10" s="14" t="s">
        <v>77</v>
      </c>
      <c r="AF10" s="14" t="s">
        <v>78</v>
      </c>
      <c r="AG10" s="14" t="s">
        <v>78</v>
      </c>
      <c r="AH10" s="14" t="s">
        <v>78</v>
      </c>
      <c r="AI10" s="14" t="s">
        <v>78</v>
      </c>
      <c r="AJ10" s="14">
        <f t="shared" si="0"/>
        <v>26</v>
      </c>
      <c r="AK10" s="14">
        <f t="shared" si="1"/>
        <v>25</v>
      </c>
      <c r="AL10" s="14">
        <f t="shared" si="2"/>
        <v>1</v>
      </c>
      <c r="AM10" s="14">
        <f t="shared" si="3"/>
        <v>4</v>
      </c>
      <c r="AN10" s="14">
        <f t="shared" si="4"/>
        <v>0</v>
      </c>
      <c r="AO10" s="14">
        <f t="shared" si="5"/>
        <v>0</v>
      </c>
      <c r="AP10" s="14">
        <f t="shared" si="6"/>
        <v>0</v>
      </c>
      <c r="AQ10" s="14">
        <f t="shared" si="7"/>
        <v>14800</v>
      </c>
    </row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5">
    <mergeCell ref="A1:A2"/>
    <mergeCell ref="B1:B2"/>
    <mergeCell ref="C1:C2"/>
    <mergeCell ref="D1:D2"/>
    <mergeCell ref="E1:E2"/>
  </mergeCells>
  <dataValidations count="1">
    <dataValidation type="list" allowBlank="1" sqref="F3:AI10" xr:uid="{00000000-0002-0000-0300-000000000000}">
      <formula1>"P,A,S,CL,SL,H"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000"/>
  <sheetViews>
    <sheetView workbookViewId="0"/>
  </sheetViews>
  <sheetFormatPr defaultColWidth="14.453125" defaultRowHeight="15" customHeight="1" x14ac:dyDescent="0.35"/>
  <cols>
    <col min="1" max="1" width="15.7265625" customWidth="1"/>
    <col min="2" max="2" width="27.453125" customWidth="1"/>
    <col min="3" max="3" width="24.81640625" customWidth="1"/>
    <col min="4" max="4" width="23.08984375" customWidth="1"/>
    <col min="5" max="5" width="18.81640625" customWidth="1"/>
    <col min="6" max="36" width="8.7265625" customWidth="1"/>
    <col min="37" max="37" width="23.7265625" customWidth="1"/>
    <col min="38" max="38" width="15.26953125" customWidth="1"/>
    <col min="39" max="39" width="8.7265625" customWidth="1"/>
    <col min="40" max="40" width="17.453125" customWidth="1"/>
    <col min="41" max="43" width="8.7265625" customWidth="1"/>
    <col min="44" max="44" width="23.08984375" customWidth="1"/>
  </cols>
  <sheetData>
    <row r="1" spans="1:44" ht="14.5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68</v>
      </c>
      <c r="AN1" s="12" t="s">
        <v>69</v>
      </c>
      <c r="AO1" s="12" t="s">
        <v>38</v>
      </c>
      <c r="AP1" s="12" t="s">
        <v>39</v>
      </c>
      <c r="AQ1" s="12" t="s">
        <v>40</v>
      </c>
      <c r="AR1" s="12" t="s">
        <v>41</v>
      </c>
    </row>
    <row r="2" spans="1:44" ht="14.5" x14ac:dyDescent="0.35">
      <c r="A2" s="19"/>
      <c r="B2" s="19"/>
      <c r="C2" s="19"/>
      <c r="D2" s="19"/>
      <c r="E2" s="19"/>
      <c r="F2" s="13" t="s">
        <v>75</v>
      </c>
      <c r="G2" s="13" t="s">
        <v>76</v>
      </c>
      <c r="H2" s="13" t="s">
        <v>70</v>
      </c>
      <c r="I2" s="13" t="s">
        <v>71</v>
      </c>
      <c r="J2" s="13" t="s">
        <v>72</v>
      </c>
      <c r="K2" s="13" t="s">
        <v>73</v>
      </c>
      <c r="L2" s="13" t="s">
        <v>74</v>
      </c>
      <c r="M2" s="13" t="s">
        <v>75</v>
      </c>
      <c r="N2" s="13" t="s">
        <v>76</v>
      </c>
      <c r="O2" s="13" t="s">
        <v>70</v>
      </c>
      <c r="P2" s="13" t="s">
        <v>71</v>
      </c>
      <c r="Q2" s="13" t="s">
        <v>72</v>
      </c>
      <c r="R2" s="13" t="s">
        <v>73</v>
      </c>
      <c r="S2" s="13" t="s">
        <v>74</v>
      </c>
      <c r="T2" s="13" t="s">
        <v>75</v>
      </c>
      <c r="U2" s="13" t="s">
        <v>76</v>
      </c>
      <c r="V2" s="13" t="s">
        <v>70</v>
      </c>
      <c r="W2" s="13" t="s">
        <v>71</v>
      </c>
      <c r="X2" s="13" t="s">
        <v>72</v>
      </c>
      <c r="Y2" s="13" t="s">
        <v>73</v>
      </c>
      <c r="Z2" s="13" t="s">
        <v>74</v>
      </c>
      <c r="AA2" s="13" t="s">
        <v>75</v>
      </c>
      <c r="AB2" s="13" t="s">
        <v>76</v>
      </c>
      <c r="AC2" s="13" t="s">
        <v>70</v>
      </c>
      <c r="AD2" s="13" t="s">
        <v>71</v>
      </c>
      <c r="AE2" s="13" t="s">
        <v>72</v>
      </c>
      <c r="AF2" s="13" t="s">
        <v>73</v>
      </c>
      <c r="AG2" s="13" t="s">
        <v>74</v>
      </c>
      <c r="AH2" s="13" t="s">
        <v>75</v>
      </c>
      <c r="AI2" s="13" t="s">
        <v>76</v>
      </c>
      <c r="AJ2" s="13" t="s">
        <v>70</v>
      </c>
      <c r="AK2" s="13"/>
      <c r="AL2" s="13"/>
      <c r="AM2" s="13"/>
      <c r="AN2" s="13"/>
      <c r="AO2" s="13"/>
      <c r="AP2" s="13"/>
      <c r="AQ2" s="13"/>
      <c r="AR2" s="13"/>
    </row>
    <row r="3" spans="1:44" ht="14.5" x14ac:dyDescent="0.35">
      <c r="A3" s="2" t="s">
        <v>42</v>
      </c>
      <c r="B3" s="2" t="s">
        <v>43</v>
      </c>
      <c r="C3" s="2" t="s">
        <v>44</v>
      </c>
      <c r="D3" s="4">
        <v>100000</v>
      </c>
      <c r="E3" s="3" t="s">
        <v>45</v>
      </c>
      <c r="F3" s="14" t="s">
        <v>78</v>
      </c>
      <c r="G3" s="14" t="s">
        <v>78</v>
      </c>
      <c r="H3" s="14" t="s">
        <v>77</v>
      </c>
      <c r="I3" s="14" t="s">
        <v>78</v>
      </c>
      <c r="J3" s="14" t="s">
        <v>78</v>
      </c>
      <c r="K3" s="14" t="s">
        <v>78</v>
      </c>
      <c r="L3" s="14" t="s">
        <v>78</v>
      </c>
      <c r="M3" s="14" t="s">
        <v>78</v>
      </c>
      <c r="N3" s="16" t="s">
        <v>78</v>
      </c>
      <c r="O3" s="14" t="s">
        <v>77</v>
      </c>
      <c r="P3" s="16" t="s">
        <v>78</v>
      </c>
      <c r="Q3" s="16" t="s">
        <v>78</v>
      </c>
      <c r="R3" s="16" t="s">
        <v>78</v>
      </c>
      <c r="S3" s="16" t="s">
        <v>78</v>
      </c>
      <c r="T3" s="16" t="s">
        <v>78</v>
      </c>
      <c r="U3" s="16" t="s">
        <v>78</v>
      </c>
      <c r="V3" s="14" t="s">
        <v>77</v>
      </c>
      <c r="W3" s="14" t="s">
        <v>78</v>
      </c>
      <c r="X3" s="14" t="s">
        <v>78</v>
      </c>
      <c r="Y3" s="14" t="s">
        <v>78</v>
      </c>
      <c r="Z3" s="14" t="s">
        <v>78</v>
      </c>
      <c r="AA3" s="14" t="s">
        <v>78</v>
      </c>
      <c r="AB3" s="14" t="s">
        <v>78</v>
      </c>
      <c r="AC3" s="14" t="s">
        <v>77</v>
      </c>
      <c r="AD3" s="14" t="s">
        <v>78</v>
      </c>
      <c r="AE3" s="14" t="s">
        <v>78</v>
      </c>
      <c r="AF3" s="14" t="s">
        <v>78</v>
      </c>
      <c r="AG3" s="14" t="s">
        <v>78</v>
      </c>
      <c r="AH3" s="14" t="s">
        <v>78</v>
      </c>
      <c r="AI3" s="14" t="s">
        <v>78</v>
      </c>
      <c r="AJ3" s="14" t="s">
        <v>77</v>
      </c>
      <c r="AK3" s="14">
        <f t="shared" ref="AK3:AK10" si="0">COUNTIF(G3:AJ3,"&lt;&gt;S")</f>
        <v>25</v>
      </c>
      <c r="AL3" s="14">
        <f t="shared" ref="AL3:AL10" si="1">COUNTIF(G3:AJ3,"P")</f>
        <v>25</v>
      </c>
      <c r="AM3" s="14">
        <f t="shared" ref="AM3:AM10" si="2">COUNTIF(G3:AJ3,"H")</f>
        <v>0</v>
      </c>
      <c r="AN3" s="14">
        <f t="shared" ref="AN3:AN10" si="3">COUNTIF(G3:AJ3,"S")</f>
        <v>5</v>
      </c>
      <c r="AO3" s="14">
        <f t="shared" ref="AO3:AO10" si="4">COUNTIF(G3:AJ3,"CL")</f>
        <v>0</v>
      </c>
      <c r="AP3" s="14">
        <f t="shared" ref="AP3:AP10" si="5">COUNTIF(G3:AJ3,"SL")</f>
        <v>0</v>
      </c>
      <c r="AQ3" s="14">
        <f t="shared" ref="AQ3:AQ10" si="6">COUNTIF(G3:AJ3,"A")</f>
        <v>0</v>
      </c>
      <c r="AR3" s="14">
        <f t="shared" ref="AR3:AR10" si="7">(D3/30) * (
VALUE(AL3) + VALUE(AN3) + VALUE(AM3) +
MIN(VALUE(AO3),1) + MIN(VALUE(AP3),1)
) - 200</f>
        <v>99800</v>
      </c>
    </row>
    <row r="4" spans="1:44" ht="14.5" x14ac:dyDescent="0.35">
      <c r="A4" s="2" t="s">
        <v>46</v>
      </c>
      <c r="B4" s="2" t="s">
        <v>47</v>
      </c>
      <c r="C4" s="2" t="s">
        <v>48</v>
      </c>
      <c r="D4" s="4">
        <v>15000</v>
      </c>
      <c r="E4" s="6">
        <v>45782</v>
      </c>
      <c r="F4" s="14" t="s">
        <v>78</v>
      </c>
      <c r="G4" s="14" t="s">
        <v>78</v>
      </c>
      <c r="H4" s="14" t="s">
        <v>77</v>
      </c>
      <c r="I4" s="14" t="s">
        <v>78</v>
      </c>
      <c r="J4" s="14" t="s">
        <v>78</v>
      </c>
      <c r="K4" s="14" t="s">
        <v>78</v>
      </c>
      <c r="L4" s="14" t="s">
        <v>78</v>
      </c>
      <c r="M4" s="14" t="s">
        <v>78</v>
      </c>
      <c r="N4" s="16" t="s">
        <v>78</v>
      </c>
      <c r="O4" s="14" t="s">
        <v>77</v>
      </c>
      <c r="P4" s="16" t="s">
        <v>78</v>
      </c>
      <c r="Q4" s="16" t="s">
        <v>78</v>
      </c>
      <c r="R4" s="16" t="s">
        <v>78</v>
      </c>
      <c r="S4" s="16" t="s">
        <v>78</v>
      </c>
      <c r="T4" s="16" t="s">
        <v>78</v>
      </c>
      <c r="U4" s="16" t="s">
        <v>78</v>
      </c>
      <c r="V4" s="14" t="s">
        <v>77</v>
      </c>
      <c r="W4" s="14" t="s">
        <v>38</v>
      </c>
      <c r="X4" s="14" t="s">
        <v>80</v>
      </c>
      <c r="Y4" s="14" t="s">
        <v>78</v>
      </c>
      <c r="Z4" s="14" t="s">
        <v>78</v>
      </c>
      <c r="AA4" s="14" t="s">
        <v>78</v>
      </c>
      <c r="AB4" s="14" t="s">
        <v>78</v>
      </c>
      <c r="AC4" s="14" t="s">
        <v>77</v>
      </c>
      <c r="AD4" s="14" t="s">
        <v>78</v>
      </c>
      <c r="AE4" s="14" t="s">
        <v>78</v>
      </c>
      <c r="AF4" s="14" t="s">
        <v>78</v>
      </c>
      <c r="AG4" s="14" t="s">
        <v>81</v>
      </c>
      <c r="AH4" s="14" t="s">
        <v>78</v>
      </c>
      <c r="AI4" s="14" t="s">
        <v>78</v>
      </c>
      <c r="AJ4" s="14" t="s">
        <v>77</v>
      </c>
      <c r="AK4" s="14">
        <f t="shared" si="0"/>
        <v>25</v>
      </c>
      <c r="AL4" s="14">
        <f t="shared" si="1"/>
        <v>22</v>
      </c>
      <c r="AM4" s="14">
        <f t="shared" si="2"/>
        <v>0</v>
      </c>
      <c r="AN4" s="14">
        <f t="shared" si="3"/>
        <v>5</v>
      </c>
      <c r="AO4" s="14">
        <f t="shared" si="4"/>
        <v>1</v>
      </c>
      <c r="AP4" s="14">
        <f t="shared" si="5"/>
        <v>1</v>
      </c>
      <c r="AQ4" s="14">
        <f t="shared" si="6"/>
        <v>1</v>
      </c>
      <c r="AR4" s="14">
        <f t="shared" si="7"/>
        <v>14300</v>
      </c>
    </row>
    <row r="5" spans="1:44" ht="14.5" x14ac:dyDescent="0.35">
      <c r="A5" s="2" t="s">
        <v>49</v>
      </c>
      <c r="B5" s="2" t="s">
        <v>50</v>
      </c>
      <c r="C5" s="2" t="s">
        <v>51</v>
      </c>
      <c r="D5" s="4">
        <v>30000</v>
      </c>
      <c r="E5" s="3" t="s">
        <v>52</v>
      </c>
      <c r="F5" s="14" t="s">
        <v>78</v>
      </c>
      <c r="G5" s="14" t="s">
        <v>78</v>
      </c>
      <c r="H5" s="14" t="s">
        <v>77</v>
      </c>
      <c r="I5" s="14" t="s">
        <v>78</v>
      </c>
      <c r="J5" s="14" t="s">
        <v>78</v>
      </c>
      <c r="K5" s="14" t="s">
        <v>78</v>
      </c>
      <c r="L5" s="14" t="s">
        <v>78</v>
      </c>
      <c r="M5" s="14" t="s">
        <v>78</v>
      </c>
      <c r="N5" s="16" t="s">
        <v>78</v>
      </c>
      <c r="O5" s="14" t="s">
        <v>77</v>
      </c>
      <c r="P5" s="16" t="s">
        <v>78</v>
      </c>
      <c r="Q5" s="16" t="s">
        <v>78</v>
      </c>
      <c r="R5" s="16" t="s">
        <v>78</v>
      </c>
      <c r="S5" s="16" t="s">
        <v>78</v>
      </c>
      <c r="T5" s="16" t="s">
        <v>78</v>
      </c>
      <c r="U5" s="16" t="s">
        <v>38</v>
      </c>
      <c r="V5" s="14" t="s">
        <v>77</v>
      </c>
      <c r="W5" s="14" t="s">
        <v>78</v>
      </c>
      <c r="X5" s="14" t="s">
        <v>78</v>
      </c>
      <c r="Y5" s="14" t="s">
        <v>78</v>
      </c>
      <c r="Z5" s="14" t="s">
        <v>78</v>
      </c>
      <c r="AA5" s="14" t="s">
        <v>78</v>
      </c>
      <c r="AB5" s="14" t="s">
        <v>78</v>
      </c>
      <c r="AC5" s="14" t="s">
        <v>77</v>
      </c>
      <c r="AD5" s="14" t="s">
        <v>78</v>
      </c>
      <c r="AE5" s="14" t="s">
        <v>80</v>
      </c>
      <c r="AF5" s="14" t="s">
        <v>78</v>
      </c>
      <c r="AG5" s="14" t="s">
        <v>78</v>
      </c>
      <c r="AH5" s="14" t="s">
        <v>78</v>
      </c>
      <c r="AI5" s="14" t="s">
        <v>78</v>
      </c>
      <c r="AJ5" s="14" t="s">
        <v>77</v>
      </c>
      <c r="AK5" s="14">
        <f t="shared" si="0"/>
        <v>25</v>
      </c>
      <c r="AL5" s="14">
        <f t="shared" si="1"/>
        <v>23</v>
      </c>
      <c r="AM5" s="14">
        <f t="shared" si="2"/>
        <v>0</v>
      </c>
      <c r="AN5" s="14">
        <f t="shared" si="3"/>
        <v>5</v>
      </c>
      <c r="AO5" s="14">
        <f t="shared" si="4"/>
        <v>1</v>
      </c>
      <c r="AP5" s="14">
        <f t="shared" si="5"/>
        <v>1</v>
      </c>
      <c r="AQ5" s="14">
        <f t="shared" si="6"/>
        <v>0</v>
      </c>
      <c r="AR5" s="14">
        <f t="shared" si="7"/>
        <v>29800</v>
      </c>
    </row>
    <row r="6" spans="1:44" ht="14.5" x14ac:dyDescent="0.35">
      <c r="A6" s="2" t="s">
        <v>53</v>
      </c>
      <c r="B6" s="2" t="s">
        <v>54</v>
      </c>
      <c r="C6" s="2" t="s">
        <v>55</v>
      </c>
      <c r="D6" s="4">
        <v>55000</v>
      </c>
      <c r="E6" s="6">
        <v>45658</v>
      </c>
      <c r="F6" s="14" t="s">
        <v>78</v>
      </c>
      <c r="G6" s="14" t="s">
        <v>78</v>
      </c>
      <c r="H6" s="14" t="s">
        <v>77</v>
      </c>
      <c r="I6" s="14" t="s">
        <v>78</v>
      </c>
      <c r="J6" s="14" t="s">
        <v>78</v>
      </c>
      <c r="K6" s="14" t="s">
        <v>78</v>
      </c>
      <c r="L6" s="14" t="s">
        <v>78</v>
      </c>
      <c r="M6" s="14" t="s">
        <v>78</v>
      </c>
      <c r="N6" s="16" t="s">
        <v>78</v>
      </c>
      <c r="O6" s="14" t="s">
        <v>77</v>
      </c>
      <c r="P6" s="16" t="s">
        <v>78</v>
      </c>
      <c r="Q6" s="16" t="s">
        <v>78</v>
      </c>
      <c r="R6" s="14" t="s">
        <v>81</v>
      </c>
      <c r="S6" s="16" t="s">
        <v>78</v>
      </c>
      <c r="T6" s="16" t="s">
        <v>78</v>
      </c>
      <c r="U6" s="16" t="s">
        <v>78</v>
      </c>
      <c r="V6" s="14" t="s">
        <v>77</v>
      </c>
      <c r="W6" s="14" t="s">
        <v>78</v>
      </c>
      <c r="X6" s="14" t="s">
        <v>78</v>
      </c>
      <c r="Y6" s="14" t="s">
        <v>80</v>
      </c>
      <c r="Z6" s="14" t="s">
        <v>38</v>
      </c>
      <c r="AA6" s="14" t="s">
        <v>78</v>
      </c>
      <c r="AB6" s="14" t="s">
        <v>78</v>
      </c>
      <c r="AC6" s="14" t="s">
        <v>77</v>
      </c>
      <c r="AD6" s="14" t="s">
        <v>81</v>
      </c>
      <c r="AE6" s="14" t="s">
        <v>78</v>
      </c>
      <c r="AF6" s="14" t="s">
        <v>78</v>
      </c>
      <c r="AG6" s="14" t="s">
        <v>78</v>
      </c>
      <c r="AH6" s="14" t="s">
        <v>78</v>
      </c>
      <c r="AI6" s="14" t="s">
        <v>78</v>
      </c>
      <c r="AJ6" s="14" t="s">
        <v>77</v>
      </c>
      <c r="AK6" s="14">
        <f t="shared" si="0"/>
        <v>25</v>
      </c>
      <c r="AL6" s="14">
        <f t="shared" si="1"/>
        <v>21</v>
      </c>
      <c r="AM6" s="14">
        <f t="shared" si="2"/>
        <v>0</v>
      </c>
      <c r="AN6" s="14">
        <f t="shared" si="3"/>
        <v>5</v>
      </c>
      <c r="AO6" s="14">
        <f t="shared" si="4"/>
        <v>1</v>
      </c>
      <c r="AP6" s="14">
        <f t="shared" si="5"/>
        <v>1</v>
      </c>
      <c r="AQ6" s="14">
        <f t="shared" si="6"/>
        <v>2</v>
      </c>
      <c r="AR6" s="14">
        <f t="shared" si="7"/>
        <v>51133.333333333328</v>
      </c>
    </row>
    <row r="7" spans="1:44" ht="14.5" x14ac:dyDescent="0.35">
      <c r="A7" s="2" t="s">
        <v>56</v>
      </c>
      <c r="B7" s="2" t="s">
        <v>57</v>
      </c>
      <c r="C7" s="2" t="s">
        <v>58</v>
      </c>
      <c r="D7" s="4">
        <v>40000</v>
      </c>
      <c r="E7" s="6">
        <v>45994</v>
      </c>
      <c r="F7" s="14" t="s">
        <v>78</v>
      </c>
      <c r="G7" s="14" t="s">
        <v>78</v>
      </c>
      <c r="H7" s="14" t="s">
        <v>77</v>
      </c>
      <c r="I7" s="14" t="s">
        <v>78</v>
      </c>
      <c r="J7" s="14" t="s">
        <v>78</v>
      </c>
      <c r="K7" s="14" t="s">
        <v>78</v>
      </c>
      <c r="L7" s="14" t="s">
        <v>78</v>
      </c>
      <c r="M7" s="14" t="s">
        <v>78</v>
      </c>
      <c r="N7" s="16" t="s">
        <v>78</v>
      </c>
      <c r="O7" s="14" t="s">
        <v>77</v>
      </c>
      <c r="P7" s="16" t="s">
        <v>78</v>
      </c>
      <c r="Q7" s="16" t="s">
        <v>78</v>
      </c>
      <c r="R7" s="16" t="s">
        <v>78</v>
      </c>
      <c r="S7" s="16" t="s">
        <v>78</v>
      </c>
      <c r="T7" s="16" t="s">
        <v>78</v>
      </c>
      <c r="U7" s="16" t="s">
        <v>78</v>
      </c>
      <c r="V7" s="14" t="s">
        <v>77</v>
      </c>
      <c r="W7" s="14" t="s">
        <v>78</v>
      </c>
      <c r="X7" s="14" t="s">
        <v>78</v>
      </c>
      <c r="Y7" s="14" t="s">
        <v>78</v>
      </c>
      <c r="Z7" s="14" t="s">
        <v>78</v>
      </c>
      <c r="AA7" s="14" t="s">
        <v>78</v>
      </c>
      <c r="AB7" s="14" t="s">
        <v>78</v>
      </c>
      <c r="AC7" s="14" t="s">
        <v>77</v>
      </c>
      <c r="AD7" s="14" t="s">
        <v>89</v>
      </c>
      <c r="AE7" s="14" t="s">
        <v>78</v>
      </c>
      <c r="AF7" s="14" t="s">
        <v>78</v>
      </c>
      <c r="AG7" s="14" t="s">
        <v>78</v>
      </c>
      <c r="AH7" s="14" t="s">
        <v>78</v>
      </c>
      <c r="AI7" s="14" t="s">
        <v>78</v>
      </c>
      <c r="AJ7" s="14" t="s">
        <v>77</v>
      </c>
      <c r="AK7" s="14">
        <f t="shared" si="0"/>
        <v>25</v>
      </c>
      <c r="AL7" s="14">
        <f t="shared" si="1"/>
        <v>24</v>
      </c>
      <c r="AM7" s="14">
        <f t="shared" si="2"/>
        <v>0</v>
      </c>
      <c r="AN7" s="14">
        <f t="shared" si="3"/>
        <v>5</v>
      </c>
      <c r="AO7" s="14">
        <f t="shared" si="4"/>
        <v>0</v>
      </c>
      <c r="AP7" s="14">
        <f t="shared" si="5"/>
        <v>0</v>
      </c>
      <c r="AQ7" s="14">
        <f t="shared" si="6"/>
        <v>0</v>
      </c>
      <c r="AR7" s="14">
        <f t="shared" si="7"/>
        <v>38466.666666666664</v>
      </c>
    </row>
    <row r="8" spans="1:44" ht="14.5" x14ac:dyDescent="0.35">
      <c r="A8" s="2" t="s">
        <v>59</v>
      </c>
      <c r="B8" s="2" t="s">
        <v>60</v>
      </c>
      <c r="C8" s="2" t="s">
        <v>61</v>
      </c>
      <c r="D8" s="4">
        <v>10000</v>
      </c>
      <c r="E8" s="6">
        <v>46000</v>
      </c>
      <c r="F8" s="14" t="s">
        <v>78</v>
      </c>
      <c r="G8" s="14" t="s">
        <v>78</v>
      </c>
      <c r="H8" s="14" t="s">
        <v>77</v>
      </c>
      <c r="I8" s="14" t="s">
        <v>78</v>
      </c>
      <c r="J8" s="14" t="s">
        <v>78</v>
      </c>
      <c r="K8" s="14" t="s">
        <v>78</v>
      </c>
      <c r="L8" s="14" t="s">
        <v>78</v>
      </c>
      <c r="M8" s="14" t="s">
        <v>78</v>
      </c>
      <c r="N8" s="16" t="s">
        <v>78</v>
      </c>
      <c r="O8" s="14" t="s">
        <v>77</v>
      </c>
      <c r="P8" s="16" t="s">
        <v>78</v>
      </c>
      <c r="Q8" s="16" t="s">
        <v>78</v>
      </c>
      <c r="R8" s="16" t="s">
        <v>78</v>
      </c>
      <c r="S8" s="16" t="s">
        <v>78</v>
      </c>
      <c r="T8" s="16" t="s">
        <v>78</v>
      </c>
      <c r="U8" s="16" t="s">
        <v>78</v>
      </c>
      <c r="V8" s="14" t="s">
        <v>77</v>
      </c>
      <c r="W8" s="14" t="s">
        <v>78</v>
      </c>
      <c r="X8" s="14" t="s">
        <v>78</v>
      </c>
      <c r="Y8" s="14" t="s">
        <v>78</v>
      </c>
      <c r="Z8" s="14" t="s">
        <v>78</v>
      </c>
      <c r="AA8" s="14" t="s">
        <v>78</v>
      </c>
      <c r="AB8" s="14" t="s">
        <v>78</v>
      </c>
      <c r="AC8" s="14" t="s">
        <v>77</v>
      </c>
      <c r="AD8" s="14" t="s">
        <v>78</v>
      </c>
      <c r="AE8" s="14" t="s">
        <v>78</v>
      </c>
      <c r="AF8" s="14" t="s">
        <v>78</v>
      </c>
      <c r="AG8" s="14" t="s">
        <v>78</v>
      </c>
      <c r="AH8" s="14" t="s">
        <v>78</v>
      </c>
      <c r="AI8" s="14" t="s">
        <v>78</v>
      </c>
      <c r="AJ8" s="14" t="s">
        <v>77</v>
      </c>
      <c r="AK8" s="14">
        <f t="shared" si="0"/>
        <v>25</v>
      </c>
      <c r="AL8" s="14">
        <f t="shared" si="1"/>
        <v>25</v>
      </c>
      <c r="AM8" s="14">
        <f t="shared" si="2"/>
        <v>0</v>
      </c>
      <c r="AN8" s="14">
        <f t="shared" si="3"/>
        <v>5</v>
      </c>
      <c r="AO8" s="14">
        <f t="shared" si="4"/>
        <v>0</v>
      </c>
      <c r="AP8" s="14">
        <f t="shared" si="5"/>
        <v>0</v>
      </c>
      <c r="AQ8" s="14">
        <f t="shared" si="6"/>
        <v>0</v>
      </c>
      <c r="AR8" s="14">
        <f t="shared" si="7"/>
        <v>9800</v>
      </c>
    </row>
    <row r="9" spans="1:44" ht="14.5" x14ac:dyDescent="0.35">
      <c r="A9" s="2" t="s">
        <v>62</v>
      </c>
      <c r="B9" s="2" t="s">
        <v>63</v>
      </c>
      <c r="C9" s="2" t="s">
        <v>64</v>
      </c>
      <c r="D9" s="4">
        <v>40000</v>
      </c>
      <c r="E9" s="6">
        <v>45818</v>
      </c>
      <c r="F9" s="14" t="s">
        <v>78</v>
      </c>
      <c r="G9" s="14" t="s">
        <v>78</v>
      </c>
      <c r="H9" s="14" t="s">
        <v>77</v>
      </c>
      <c r="I9" s="14" t="s">
        <v>78</v>
      </c>
      <c r="J9" s="14" t="s">
        <v>78</v>
      </c>
      <c r="K9" s="14" t="s">
        <v>78</v>
      </c>
      <c r="L9" s="14" t="s">
        <v>78</v>
      </c>
      <c r="M9" s="14" t="s">
        <v>78</v>
      </c>
      <c r="N9" s="16" t="s">
        <v>78</v>
      </c>
      <c r="O9" s="14" t="s">
        <v>77</v>
      </c>
      <c r="P9" s="16" t="s">
        <v>78</v>
      </c>
      <c r="Q9" s="16" t="s">
        <v>78</v>
      </c>
      <c r="R9" s="16" t="s">
        <v>78</v>
      </c>
      <c r="S9" s="16" t="s">
        <v>78</v>
      </c>
      <c r="T9" s="16" t="s">
        <v>78</v>
      </c>
      <c r="U9" s="16" t="s">
        <v>78</v>
      </c>
      <c r="V9" s="14" t="s">
        <v>77</v>
      </c>
      <c r="W9" s="14" t="s">
        <v>78</v>
      </c>
      <c r="X9" s="14" t="s">
        <v>78</v>
      </c>
      <c r="Y9" s="14" t="s">
        <v>78</v>
      </c>
      <c r="Z9" s="14" t="s">
        <v>78</v>
      </c>
      <c r="AA9" s="14" t="s">
        <v>78</v>
      </c>
      <c r="AB9" s="14" t="s">
        <v>78</v>
      </c>
      <c r="AC9" s="14" t="s">
        <v>77</v>
      </c>
      <c r="AD9" s="14" t="s">
        <v>78</v>
      </c>
      <c r="AE9" s="14" t="s">
        <v>78</v>
      </c>
      <c r="AF9" s="14" t="s">
        <v>78</v>
      </c>
      <c r="AG9" s="14" t="s">
        <v>78</v>
      </c>
      <c r="AH9" s="14" t="s">
        <v>78</v>
      </c>
      <c r="AI9" s="14" t="s">
        <v>78</v>
      </c>
      <c r="AJ9" s="14" t="s">
        <v>77</v>
      </c>
      <c r="AK9" s="14">
        <f t="shared" si="0"/>
        <v>25</v>
      </c>
      <c r="AL9" s="14">
        <f t="shared" si="1"/>
        <v>25</v>
      </c>
      <c r="AM9" s="14">
        <f t="shared" si="2"/>
        <v>0</v>
      </c>
      <c r="AN9" s="14">
        <f t="shared" si="3"/>
        <v>5</v>
      </c>
      <c r="AO9" s="14">
        <f t="shared" si="4"/>
        <v>0</v>
      </c>
      <c r="AP9" s="14">
        <f t="shared" si="5"/>
        <v>0</v>
      </c>
      <c r="AQ9" s="14">
        <f t="shared" si="6"/>
        <v>0</v>
      </c>
      <c r="AR9" s="14">
        <f t="shared" si="7"/>
        <v>39800</v>
      </c>
    </row>
    <row r="10" spans="1:44" ht="14.5" x14ac:dyDescent="0.35">
      <c r="A10" s="2" t="s">
        <v>65</v>
      </c>
      <c r="B10" s="2" t="s">
        <v>66</v>
      </c>
      <c r="C10" s="2" t="s">
        <v>67</v>
      </c>
      <c r="D10" s="4">
        <v>20000</v>
      </c>
      <c r="E10" s="17">
        <v>45881</v>
      </c>
      <c r="F10" s="14" t="s">
        <v>78</v>
      </c>
      <c r="G10" s="14" t="s">
        <v>78</v>
      </c>
      <c r="H10" s="14" t="s">
        <v>77</v>
      </c>
      <c r="I10" s="14" t="s">
        <v>78</v>
      </c>
      <c r="J10" s="14" t="s">
        <v>78</v>
      </c>
      <c r="K10" s="14" t="s">
        <v>78</v>
      </c>
      <c r="L10" s="14" t="s">
        <v>78</v>
      </c>
      <c r="M10" s="14" t="s">
        <v>78</v>
      </c>
      <c r="N10" s="16" t="s">
        <v>78</v>
      </c>
      <c r="O10" s="14" t="s">
        <v>77</v>
      </c>
      <c r="P10" s="16" t="s">
        <v>38</v>
      </c>
      <c r="Q10" s="14" t="s">
        <v>80</v>
      </c>
      <c r="R10" s="14" t="s">
        <v>81</v>
      </c>
      <c r="S10" s="14" t="s">
        <v>81</v>
      </c>
      <c r="T10" s="16" t="s">
        <v>78</v>
      </c>
      <c r="U10" s="16" t="s">
        <v>78</v>
      </c>
      <c r="V10" s="14" t="s">
        <v>77</v>
      </c>
      <c r="W10" s="14" t="s">
        <v>78</v>
      </c>
      <c r="X10" s="14" t="s">
        <v>78</v>
      </c>
      <c r="Y10" s="14" t="s">
        <v>78</v>
      </c>
      <c r="Z10" s="14" t="s">
        <v>81</v>
      </c>
      <c r="AA10" s="14" t="s">
        <v>78</v>
      </c>
      <c r="AB10" s="14" t="s">
        <v>78</v>
      </c>
      <c r="AC10" s="14" t="s">
        <v>77</v>
      </c>
      <c r="AD10" s="14" t="s">
        <v>78</v>
      </c>
      <c r="AE10" s="14" t="s">
        <v>78</v>
      </c>
      <c r="AF10" s="14" t="s">
        <v>78</v>
      </c>
      <c r="AG10" s="14" t="s">
        <v>78</v>
      </c>
      <c r="AH10" s="14" t="s">
        <v>78</v>
      </c>
      <c r="AI10" s="14" t="s">
        <v>78</v>
      </c>
      <c r="AJ10" s="14" t="s">
        <v>77</v>
      </c>
      <c r="AK10" s="14">
        <f t="shared" si="0"/>
        <v>25</v>
      </c>
      <c r="AL10" s="14">
        <f t="shared" si="1"/>
        <v>20</v>
      </c>
      <c r="AM10" s="14">
        <f t="shared" si="2"/>
        <v>0</v>
      </c>
      <c r="AN10" s="14">
        <f t="shared" si="3"/>
        <v>5</v>
      </c>
      <c r="AO10" s="14">
        <f t="shared" si="4"/>
        <v>1</v>
      </c>
      <c r="AP10" s="14">
        <f t="shared" si="5"/>
        <v>1</v>
      </c>
      <c r="AQ10" s="14">
        <f t="shared" si="6"/>
        <v>3</v>
      </c>
      <c r="AR10" s="14">
        <f t="shared" si="7"/>
        <v>17800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A1:A2"/>
    <mergeCell ref="B1:B2"/>
    <mergeCell ref="C1:C2"/>
    <mergeCell ref="D1:D2"/>
    <mergeCell ref="E1:E2"/>
  </mergeCells>
  <dataValidations count="1">
    <dataValidation type="list" allowBlank="1" sqref="F3:AJ10" xr:uid="{00000000-0002-0000-0400-000000000000}">
      <formula1>"P,A,H,CL,SL,S,HD"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000"/>
  <sheetViews>
    <sheetView workbookViewId="0"/>
  </sheetViews>
  <sheetFormatPr defaultColWidth="14.453125" defaultRowHeight="15" customHeight="1" x14ac:dyDescent="0.35"/>
  <cols>
    <col min="1" max="1" width="14.7265625" customWidth="1"/>
    <col min="2" max="2" width="26.26953125" customWidth="1"/>
    <col min="3" max="3" width="25.08984375" customWidth="1"/>
    <col min="4" max="4" width="17.81640625" customWidth="1"/>
    <col min="5" max="5" width="16.08984375" customWidth="1"/>
    <col min="6" max="42" width="8.7265625" customWidth="1"/>
  </cols>
  <sheetData>
    <row r="1" spans="1:4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5" x14ac:dyDescent="0.35">
      <c r="A2" s="2" t="s">
        <v>42</v>
      </c>
      <c r="B2" s="2" t="s">
        <v>43</v>
      </c>
      <c r="C2" s="2" t="s">
        <v>44</v>
      </c>
      <c r="D2" s="3" t="s">
        <v>45</v>
      </c>
      <c r="E2" s="4">
        <v>100000</v>
      </c>
      <c r="F2" s="5" t="s">
        <v>78</v>
      </c>
      <c r="G2" s="5" t="s">
        <v>78</v>
      </c>
      <c r="H2" s="5" t="s">
        <v>78</v>
      </c>
      <c r="I2" s="5" t="s">
        <v>78</v>
      </c>
      <c r="J2" s="5" t="s">
        <v>78</v>
      </c>
      <c r="K2" s="5" t="s">
        <v>78</v>
      </c>
      <c r="L2" s="5" t="s">
        <v>79</v>
      </c>
      <c r="M2" s="5" t="s">
        <v>78</v>
      </c>
      <c r="N2" s="5" t="s">
        <v>78</v>
      </c>
      <c r="O2" s="5" t="s">
        <v>78</v>
      </c>
      <c r="P2" s="5" t="s">
        <v>78</v>
      </c>
      <c r="Q2" s="5" t="s">
        <v>78</v>
      </c>
      <c r="R2" s="5" t="s">
        <v>78</v>
      </c>
      <c r="S2" s="5" t="s">
        <v>78</v>
      </c>
      <c r="T2" s="5" t="s">
        <v>78</v>
      </c>
      <c r="U2" s="5" t="s">
        <v>78</v>
      </c>
      <c r="V2" s="5" t="s">
        <v>78</v>
      </c>
      <c r="W2" s="5" t="s">
        <v>78</v>
      </c>
      <c r="X2" s="5" t="s">
        <v>78</v>
      </c>
      <c r="Y2" s="5" t="s">
        <v>78</v>
      </c>
      <c r="Z2" s="5" t="s">
        <v>79</v>
      </c>
      <c r="AA2" s="5" t="s">
        <v>78</v>
      </c>
      <c r="AB2" s="5" t="s">
        <v>78</v>
      </c>
      <c r="AC2" s="5" t="s">
        <v>78</v>
      </c>
      <c r="AD2" s="5" t="s">
        <v>78</v>
      </c>
      <c r="AE2" s="5" t="s">
        <v>78</v>
      </c>
      <c r="AF2" s="5"/>
      <c r="AG2" s="5"/>
      <c r="AH2" s="5"/>
      <c r="AI2" s="5"/>
      <c r="AJ2" s="5"/>
      <c r="AK2" s="5">
        <f t="shared" ref="AK2:AK49" si="0">COUNTIF(F2:AJ2,"&lt;&gt;H")</f>
        <v>29</v>
      </c>
      <c r="AL2" s="5">
        <f t="shared" ref="AL2:AL49" si="1">COUNTIF(F2:AJ2,"P")</f>
        <v>24</v>
      </c>
      <c r="AM2" s="5">
        <f t="shared" ref="AM2:AM49" si="2">COUNTIF(F2:AJ2,"CL")</f>
        <v>0</v>
      </c>
      <c r="AN2" s="5">
        <f t="shared" ref="AN2:AN49" si="3">COUNTIF(F2:AJ2,"SL")</f>
        <v>0</v>
      </c>
      <c r="AO2" s="5">
        <f t="shared" ref="AO2:AO49" si="4">COUNTIF(F2:AJ2,"A")</f>
        <v>0</v>
      </c>
      <c r="AP2" s="5">
        <f t="shared" ref="AP2:AP49" si="5">(D2/AK2)*AL2</f>
        <v>35509.241379310341</v>
      </c>
    </row>
    <row r="3" spans="1:42" ht="14.5" x14ac:dyDescent="0.35">
      <c r="A3" s="2" t="s">
        <v>46</v>
      </c>
      <c r="B3" s="2" t="s">
        <v>47</v>
      </c>
      <c r="C3" s="2" t="s">
        <v>48</v>
      </c>
      <c r="D3" s="6">
        <v>45051</v>
      </c>
      <c r="E3" s="4">
        <v>15000</v>
      </c>
      <c r="F3" s="5" t="s">
        <v>81</v>
      </c>
      <c r="G3" s="5" t="s">
        <v>81</v>
      </c>
      <c r="H3" s="5" t="s">
        <v>78</v>
      </c>
      <c r="I3" s="5" t="s">
        <v>78</v>
      </c>
      <c r="J3" s="5" t="s">
        <v>78</v>
      </c>
      <c r="K3" s="5" t="s">
        <v>78</v>
      </c>
      <c r="L3" s="5" t="s">
        <v>79</v>
      </c>
      <c r="M3" s="5" t="s">
        <v>78</v>
      </c>
      <c r="N3" s="5" t="s">
        <v>78</v>
      </c>
      <c r="O3" s="5" t="s">
        <v>78</v>
      </c>
      <c r="P3" s="5" t="s">
        <v>78</v>
      </c>
      <c r="Q3" s="5" t="s">
        <v>78</v>
      </c>
      <c r="R3" s="5" t="s">
        <v>78</v>
      </c>
      <c r="S3" s="5" t="s">
        <v>78</v>
      </c>
      <c r="T3" s="5" t="s">
        <v>78</v>
      </c>
      <c r="U3" s="5" t="s">
        <v>78</v>
      </c>
      <c r="V3" s="5" t="s">
        <v>78</v>
      </c>
      <c r="W3" s="5" t="s">
        <v>78</v>
      </c>
      <c r="X3" s="5" t="s">
        <v>78</v>
      </c>
      <c r="Y3" s="5" t="s">
        <v>78</v>
      </c>
      <c r="Z3" s="5" t="s">
        <v>79</v>
      </c>
      <c r="AA3" s="5" t="s">
        <v>78</v>
      </c>
      <c r="AB3" s="5" t="s">
        <v>78</v>
      </c>
      <c r="AC3" s="5" t="s">
        <v>90</v>
      </c>
      <c r="AD3" s="5" t="s">
        <v>78</v>
      </c>
      <c r="AE3" s="5" t="s">
        <v>78</v>
      </c>
      <c r="AF3" s="5"/>
      <c r="AG3" s="5"/>
      <c r="AH3" s="5"/>
      <c r="AI3" s="5"/>
      <c r="AJ3" s="5"/>
      <c r="AK3" s="5">
        <f t="shared" si="0"/>
        <v>29</v>
      </c>
      <c r="AL3" s="5">
        <f t="shared" si="1"/>
        <v>21</v>
      </c>
      <c r="AM3" s="5">
        <f t="shared" si="2"/>
        <v>0</v>
      </c>
      <c r="AN3" s="5">
        <f t="shared" si="3"/>
        <v>0</v>
      </c>
      <c r="AO3" s="5">
        <f t="shared" si="4"/>
        <v>2</v>
      </c>
      <c r="AP3" s="7">
        <f t="shared" si="5"/>
        <v>32623.137931034486</v>
      </c>
    </row>
    <row r="4" spans="1:42" ht="14.5" x14ac:dyDescent="0.35">
      <c r="A4" s="2" t="s">
        <v>49</v>
      </c>
      <c r="B4" s="2" t="s">
        <v>50</v>
      </c>
      <c r="C4" s="2" t="s">
        <v>51</v>
      </c>
      <c r="D4" s="3" t="s">
        <v>52</v>
      </c>
      <c r="E4" s="4">
        <v>25000</v>
      </c>
      <c r="F4" s="5" t="s">
        <v>78</v>
      </c>
      <c r="G4" s="5" t="s">
        <v>78</v>
      </c>
      <c r="H4" s="5" t="s">
        <v>78</v>
      </c>
      <c r="I4" s="5" t="s">
        <v>78</v>
      </c>
      <c r="J4" s="5" t="s">
        <v>78</v>
      </c>
      <c r="K4" s="5" t="s">
        <v>78</v>
      </c>
      <c r="L4" s="5" t="s">
        <v>79</v>
      </c>
      <c r="M4" s="5" t="s">
        <v>78</v>
      </c>
      <c r="N4" s="5" t="s">
        <v>78</v>
      </c>
      <c r="O4" s="5" t="s">
        <v>78</v>
      </c>
      <c r="P4" s="5" t="s">
        <v>78</v>
      </c>
      <c r="Q4" s="5" t="s">
        <v>78</v>
      </c>
      <c r="R4" s="5" t="s">
        <v>78</v>
      </c>
      <c r="S4" s="5" t="s">
        <v>78</v>
      </c>
      <c r="T4" s="5" t="s">
        <v>78</v>
      </c>
      <c r="U4" s="5" t="s">
        <v>78</v>
      </c>
      <c r="V4" s="5" t="s">
        <v>78</v>
      </c>
      <c r="W4" s="5" t="s">
        <v>78</v>
      </c>
      <c r="X4" s="5" t="s">
        <v>78</v>
      </c>
      <c r="Y4" s="5" t="s">
        <v>78</v>
      </c>
      <c r="Z4" s="5" t="s">
        <v>79</v>
      </c>
      <c r="AA4" s="5" t="s">
        <v>80</v>
      </c>
      <c r="AB4" s="5" t="s">
        <v>38</v>
      </c>
      <c r="AC4" s="5" t="s">
        <v>78</v>
      </c>
      <c r="AD4" s="5" t="s">
        <v>78</v>
      </c>
      <c r="AE4" s="5" t="s">
        <v>78</v>
      </c>
      <c r="AF4" s="5"/>
      <c r="AG4" s="5"/>
      <c r="AH4" s="5"/>
      <c r="AI4" s="5"/>
      <c r="AJ4" s="5"/>
      <c r="AK4" s="5">
        <f t="shared" si="0"/>
        <v>29</v>
      </c>
      <c r="AL4" s="5">
        <f t="shared" si="1"/>
        <v>22</v>
      </c>
      <c r="AM4" s="5">
        <f t="shared" si="2"/>
        <v>1</v>
      </c>
      <c r="AN4" s="5">
        <f t="shared" si="3"/>
        <v>1</v>
      </c>
      <c r="AO4" s="5">
        <f t="shared" si="4"/>
        <v>0</v>
      </c>
      <c r="AP4" s="5">
        <f t="shared" si="5"/>
        <v>34213.034482758623</v>
      </c>
    </row>
    <row r="5" spans="1:42" ht="14.5" x14ac:dyDescent="0.35">
      <c r="A5" s="2" t="s">
        <v>53</v>
      </c>
      <c r="B5" s="2" t="s">
        <v>54</v>
      </c>
      <c r="C5" s="2" t="s">
        <v>55</v>
      </c>
      <c r="D5" s="6">
        <v>45658</v>
      </c>
      <c r="E5" s="4">
        <v>50000</v>
      </c>
      <c r="F5" s="5" t="s">
        <v>78</v>
      </c>
      <c r="G5" s="5" t="s">
        <v>78</v>
      </c>
      <c r="H5" s="5" t="s">
        <v>78</v>
      </c>
      <c r="I5" s="5" t="s">
        <v>78</v>
      </c>
      <c r="J5" s="5" t="s">
        <v>78</v>
      </c>
      <c r="K5" s="5" t="s">
        <v>78</v>
      </c>
      <c r="L5" s="5" t="s">
        <v>79</v>
      </c>
      <c r="M5" s="5" t="s">
        <v>78</v>
      </c>
      <c r="N5" s="5" t="s">
        <v>78</v>
      </c>
      <c r="O5" s="5" t="s">
        <v>78</v>
      </c>
      <c r="P5" s="5" t="s">
        <v>78</v>
      </c>
      <c r="Q5" s="5" t="s">
        <v>78</v>
      </c>
      <c r="R5" s="5" t="s">
        <v>78</v>
      </c>
      <c r="S5" s="5" t="s">
        <v>78</v>
      </c>
      <c r="T5" s="5" t="s">
        <v>78</v>
      </c>
      <c r="U5" s="5" t="s">
        <v>38</v>
      </c>
      <c r="V5" s="5" t="s">
        <v>78</v>
      </c>
      <c r="W5" s="5" t="s">
        <v>78</v>
      </c>
      <c r="X5" s="5" t="s">
        <v>78</v>
      </c>
      <c r="Y5" s="5" t="s">
        <v>78</v>
      </c>
      <c r="Z5" s="5" t="s">
        <v>79</v>
      </c>
      <c r="AA5" s="5" t="s">
        <v>78</v>
      </c>
      <c r="AB5" s="5" t="s">
        <v>78</v>
      </c>
      <c r="AC5" s="5" t="s">
        <v>78</v>
      </c>
      <c r="AD5" s="5" t="s">
        <v>78</v>
      </c>
      <c r="AE5" s="5" t="s">
        <v>78</v>
      </c>
      <c r="AF5" s="5"/>
      <c r="AG5" s="5"/>
      <c r="AH5" s="5"/>
      <c r="AI5" s="5"/>
      <c r="AJ5" s="5"/>
      <c r="AK5" s="5">
        <f t="shared" si="0"/>
        <v>29</v>
      </c>
      <c r="AL5" s="5">
        <f t="shared" si="1"/>
        <v>23</v>
      </c>
      <c r="AM5" s="5">
        <f t="shared" si="2"/>
        <v>1</v>
      </c>
      <c r="AN5" s="5">
        <f t="shared" si="3"/>
        <v>0</v>
      </c>
      <c r="AO5" s="5">
        <f t="shared" si="4"/>
        <v>0</v>
      </c>
      <c r="AP5" s="7">
        <f t="shared" si="5"/>
        <v>36211.517241379312</v>
      </c>
    </row>
    <row r="6" spans="1:42" ht="14.5" x14ac:dyDescent="0.35">
      <c r="A6" s="2" t="s">
        <v>56</v>
      </c>
      <c r="B6" s="2" t="s">
        <v>57</v>
      </c>
      <c r="C6" s="2" t="s">
        <v>58</v>
      </c>
      <c r="D6" s="6">
        <v>45994</v>
      </c>
      <c r="E6" s="4">
        <v>40000</v>
      </c>
      <c r="F6" s="5" t="s">
        <v>78</v>
      </c>
      <c r="G6" s="5" t="s">
        <v>78</v>
      </c>
      <c r="H6" s="5" t="s">
        <v>78</v>
      </c>
      <c r="I6" s="5" t="s">
        <v>78</v>
      </c>
      <c r="J6" s="5" t="s">
        <v>78</v>
      </c>
      <c r="K6" s="5" t="s">
        <v>78</v>
      </c>
      <c r="L6" s="5" t="s">
        <v>79</v>
      </c>
      <c r="M6" s="5" t="s">
        <v>78</v>
      </c>
      <c r="N6" s="5" t="s">
        <v>78</v>
      </c>
      <c r="O6" s="5" t="s">
        <v>78</v>
      </c>
      <c r="P6" s="5" t="s">
        <v>78</v>
      </c>
      <c r="Q6" s="5" t="s">
        <v>78</v>
      </c>
      <c r="R6" s="5" t="s">
        <v>78</v>
      </c>
      <c r="S6" s="5" t="s">
        <v>78</v>
      </c>
      <c r="T6" s="5" t="s">
        <v>78</v>
      </c>
      <c r="U6" s="5" t="s">
        <v>78</v>
      </c>
      <c r="V6" s="5" t="s">
        <v>78</v>
      </c>
      <c r="W6" s="5" t="s">
        <v>78</v>
      </c>
      <c r="X6" s="5" t="s">
        <v>78</v>
      </c>
      <c r="Y6" s="5" t="s">
        <v>78</v>
      </c>
      <c r="Z6" s="5" t="s">
        <v>79</v>
      </c>
      <c r="AA6" s="5" t="s">
        <v>78</v>
      </c>
      <c r="AB6" s="5" t="s">
        <v>78</v>
      </c>
      <c r="AC6" s="5" t="s">
        <v>78</v>
      </c>
      <c r="AD6" s="5" t="s">
        <v>78</v>
      </c>
      <c r="AE6" s="5" t="s">
        <v>78</v>
      </c>
      <c r="AF6" s="5"/>
      <c r="AG6" s="5"/>
      <c r="AH6" s="5"/>
      <c r="AI6" s="5"/>
      <c r="AJ6" s="5"/>
      <c r="AK6" s="5">
        <f t="shared" si="0"/>
        <v>29</v>
      </c>
      <c r="AL6" s="5">
        <f t="shared" si="1"/>
        <v>24</v>
      </c>
      <c r="AM6" s="5">
        <f t="shared" si="2"/>
        <v>0</v>
      </c>
      <c r="AN6" s="5">
        <f t="shared" si="3"/>
        <v>0</v>
      </c>
      <c r="AO6" s="5">
        <f t="shared" si="4"/>
        <v>0</v>
      </c>
      <c r="AP6" s="7">
        <f t="shared" si="5"/>
        <v>38064</v>
      </c>
    </row>
    <row r="7" spans="1:42" ht="14.5" x14ac:dyDescent="0.35">
      <c r="A7" s="2" t="s">
        <v>59</v>
      </c>
      <c r="B7" s="2" t="s">
        <v>60</v>
      </c>
      <c r="C7" s="2" t="s">
        <v>61</v>
      </c>
      <c r="D7" s="6">
        <v>46000</v>
      </c>
      <c r="E7" s="4">
        <v>10000</v>
      </c>
      <c r="F7" s="5" t="s">
        <v>78</v>
      </c>
      <c r="G7" s="5" t="s">
        <v>78</v>
      </c>
      <c r="H7" s="5" t="s">
        <v>78</v>
      </c>
      <c r="I7" s="5" t="s">
        <v>78</v>
      </c>
      <c r="J7" s="5" t="s">
        <v>78</v>
      </c>
      <c r="K7" s="5" t="s">
        <v>78</v>
      </c>
      <c r="L7" s="5" t="s">
        <v>79</v>
      </c>
      <c r="M7" s="5" t="s">
        <v>78</v>
      </c>
      <c r="N7" s="5" t="s">
        <v>78</v>
      </c>
      <c r="O7" s="5" t="s">
        <v>78</v>
      </c>
      <c r="P7" s="5" t="s">
        <v>78</v>
      </c>
      <c r="Q7" s="5" t="s">
        <v>78</v>
      </c>
      <c r="R7" s="5" t="s">
        <v>78</v>
      </c>
      <c r="S7" s="5" t="s">
        <v>78</v>
      </c>
      <c r="T7" s="5" t="s">
        <v>78</v>
      </c>
      <c r="U7" s="5" t="s">
        <v>78</v>
      </c>
      <c r="V7" s="5" t="s">
        <v>78</v>
      </c>
      <c r="W7" s="5" t="s">
        <v>78</v>
      </c>
      <c r="X7" s="5" t="s">
        <v>78</v>
      </c>
      <c r="Y7" s="5" t="s">
        <v>78</v>
      </c>
      <c r="Z7" s="5" t="s">
        <v>79</v>
      </c>
      <c r="AA7" s="5" t="s">
        <v>78</v>
      </c>
      <c r="AB7" s="5" t="s">
        <v>78</v>
      </c>
      <c r="AC7" s="5" t="s">
        <v>78</v>
      </c>
      <c r="AD7" s="5" t="s">
        <v>78</v>
      </c>
      <c r="AE7" s="5" t="s">
        <v>78</v>
      </c>
      <c r="AF7" s="5"/>
      <c r="AG7" s="5"/>
      <c r="AH7" s="5"/>
      <c r="AI7" s="5"/>
      <c r="AJ7" s="5"/>
      <c r="AK7" s="5">
        <f t="shared" si="0"/>
        <v>29</v>
      </c>
      <c r="AL7" s="5">
        <f t="shared" si="1"/>
        <v>24</v>
      </c>
      <c r="AM7" s="5">
        <f t="shared" si="2"/>
        <v>0</v>
      </c>
      <c r="AN7" s="5">
        <f t="shared" si="3"/>
        <v>0</v>
      </c>
      <c r="AO7" s="5">
        <f t="shared" si="4"/>
        <v>0</v>
      </c>
      <c r="AP7" s="7">
        <f t="shared" si="5"/>
        <v>38068.965517241377</v>
      </c>
    </row>
    <row r="8" spans="1:42" ht="14.5" x14ac:dyDescent="0.35">
      <c r="A8" s="2" t="s">
        <v>62</v>
      </c>
      <c r="B8" s="2" t="s">
        <v>63</v>
      </c>
      <c r="C8" s="2" t="s">
        <v>64</v>
      </c>
      <c r="D8" s="6">
        <v>45818</v>
      </c>
      <c r="E8" s="4">
        <v>40000</v>
      </c>
      <c r="F8" s="5" t="s">
        <v>78</v>
      </c>
      <c r="G8" s="5" t="s">
        <v>78</v>
      </c>
      <c r="H8" s="5" t="s">
        <v>78</v>
      </c>
      <c r="I8" s="5" t="s">
        <v>78</v>
      </c>
      <c r="J8" s="5" t="s">
        <v>78</v>
      </c>
      <c r="K8" s="5" t="s">
        <v>78</v>
      </c>
      <c r="L8" s="5" t="s">
        <v>79</v>
      </c>
      <c r="M8" s="5" t="s">
        <v>78</v>
      </c>
      <c r="N8" s="5" t="s">
        <v>78</v>
      </c>
      <c r="O8" s="5" t="s">
        <v>78</v>
      </c>
      <c r="P8" s="5" t="s">
        <v>78</v>
      </c>
      <c r="Q8" s="5" t="s">
        <v>78</v>
      </c>
      <c r="R8" s="5" t="s">
        <v>78</v>
      </c>
      <c r="S8" s="5" t="s">
        <v>78</v>
      </c>
      <c r="T8" s="5" t="s">
        <v>78</v>
      </c>
      <c r="U8" s="5" t="s">
        <v>78</v>
      </c>
      <c r="V8" s="5" t="s">
        <v>78</v>
      </c>
      <c r="W8" s="5" t="s">
        <v>78</v>
      </c>
      <c r="X8" s="5" t="s">
        <v>78</v>
      </c>
      <c r="Y8" s="5" t="s">
        <v>80</v>
      </c>
      <c r="Z8" s="5" t="s">
        <v>79</v>
      </c>
      <c r="AA8" s="5" t="s">
        <v>78</v>
      </c>
      <c r="AB8" s="5" t="s">
        <v>78</v>
      </c>
      <c r="AC8" s="5" t="s">
        <v>78</v>
      </c>
      <c r="AD8" s="5" t="s">
        <v>78</v>
      </c>
      <c r="AE8" s="5" t="s">
        <v>78</v>
      </c>
      <c r="AF8" s="5"/>
      <c r="AG8" s="5"/>
      <c r="AH8" s="5"/>
      <c r="AI8" s="5"/>
      <c r="AJ8" s="5"/>
      <c r="AK8" s="5">
        <f t="shared" si="0"/>
        <v>29</v>
      </c>
      <c r="AL8" s="5">
        <f t="shared" si="1"/>
        <v>23</v>
      </c>
      <c r="AM8" s="5">
        <f t="shared" si="2"/>
        <v>0</v>
      </c>
      <c r="AN8" s="5">
        <f t="shared" si="3"/>
        <v>1</v>
      </c>
      <c r="AO8" s="5">
        <f t="shared" si="4"/>
        <v>0</v>
      </c>
      <c r="AP8" s="7">
        <f t="shared" si="5"/>
        <v>36338.413793103449</v>
      </c>
    </row>
    <row r="9" spans="1:42" ht="14.5" x14ac:dyDescent="0.35">
      <c r="A9" s="8" t="s">
        <v>65</v>
      </c>
      <c r="B9" s="8" t="s">
        <v>66</v>
      </c>
      <c r="C9" s="8" t="s">
        <v>67</v>
      </c>
      <c r="D9" s="9">
        <v>45881</v>
      </c>
      <c r="E9" s="10">
        <v>12000</v>
      </c>
      <c r="F9" s="5" t="s">
        <v>78</v>
      </c>
      <c r="G9" s="5" t="s">
        <v>78</v>
      </c>
      <c r="H9" s="5" t="s">
        <v>78</v>
      </c>
      <c r="I9" s="5" t="s">
        <v>78</v>
      </c>
      <c r="J9" s="5" t="s">
        <v>78</v>
      </c>
      <c r="K9" s="5" t="s">
        <v>78</v>
      </c>
      <c r="L9" s="5" t="s">
        <v>79</v>
      </c>
      <c r="M9" s="5" t="s">
        <v>78</v>
      </c>
      <c r="N9" s="5" t="s">
        <v>78</v>
      </c>
      <c r="O9" s="5" t="s">
        <v>78</v>
      </c>
      <c r="P9" s="5" t="s">
        <v>78</v>
      </c>
      <c r="Q9" s="5" t="s">
        <v>78</v>
      </c>
      <c r="R9" s="5" t="s">
        <v>78</v>
      </c>
      <c r="S9" s="5" t="s">
        <v>78</v>
      </c>
      <c r="T9" s="5" t="s">
        <v>81</v>
      </c>
      <c r="U9" s="5" t="s">
        <v>81</v>
      </c>
      <c r="V9" s="5" t="s">
        <v>81</v>
      </c>
      <c r="W9" s="5" t="s">
        <v>81</v>
      </c>
      <c r="X9" s="5" t="s">
        <v>81</v>
      </c>
      <c r="Y9" s="5" t="s">
        <v>81</v>
      </c>
      <c r="Z9" s="5" t="s">
        <v>79</v>
      </c>
      <c r="AA9" s="5" t="s">
        <v>81</v>
      </c>
      <c r="AB9" s="5" t="s">
        <v>81</v>
      </c>
      <c r="AC9" s="5" t="s">
        <v>81</v>
      </c>
      <c r="AD9" s="5" t="s">
        <v>81</v>
      </c>
      <c r="AE9" s="5" t="s">
        <v>81</v>
      </c>
      <c r="AF9" s="5"/>
      <c r="AG9" s="5"/>
      <c r="AH9" s="5"/>
      <c r="AI9" s="5"/>
      <c r="AJ9" s="5"/>
      <c r="AK9" s="5">
        <f t="shared" si="0"/>
        <v>29</v>
      </c>
      <c r="AL9" s="5">
        <f t="shared" si="1"/>
        <v>13</v>
      </c>
      <c r="AM9" s="5">
        <f t="shared" si="2"/>
        <v>0</v>
      </c>
      <c r="AN9" s="5">
        <f t="shared" si="3"/>
        <v>0</v>
      </c>
      <c r="AO9" s="5">
        <f t="shared" si="4"/>
        <v>11</v>
      </c>
      <c r="AP9" s="11">
        <f t="shared" si="5"/>
        <v>20567.344827586207</v>
      </c>
    </row>
    <row r="10" spans="1:42" ht="14.5" x14ac:dyDescent="0.35"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f t="shared" si="0"/>
        <v>31</v>
      </c>
      <c r="AL10" s="5">
        <f t="shared" si="1"/>
        <v>0</v>
      </c>
      <c r="AM10" s="5">
        <f t="shared" si="2"/>
        <v>0</v>
      </c>
      <c r="AN10" s="5">
        <f t="shared" si="3"/>
        <v>0</v>
      </c>
      <c r="AO10" s="5">
        <f t="shared" si="4"/>
        <v>0</v>
      </c>
      <c r="AP10" s="5">
        <f t="shared" si="5"/>
        <v>0</v>
      </c>
    </row>
    <row r="11" spans="1:42" ht="14.5" x14ac:dyDescent="0.35"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f t="shared" si="0"/>
        <v>31</v>
      </c>
      <c r="AL11" s="5">
        <f t="shared" si="1"/>
        <v>0</v>
      </c>
      <c r="AM11" s="5">
        <f t="shared" si="2"/>
        <v>0</v>
      </c>
      <c r="AN11" s="5">
        <f t="shared" si="3"/>
        <v>0</v>
      </c>
      <c r="AO11" s="5">
        <f t="shared" si="4"/>
        <v>0</v>
      </c>
      <c r="AP11" s="5">
        <f t="shared" si="5"/>
        <v>0</v>
      </c>
    </row>
    <row r="12" spans="1:42" ht="14.5" x14ac:dyDescent="0.35"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f t="shared" si="0"/>
        <v>31</v>
      </c>
      <c r="AL12" s="5">
        <f t="shared" si="1"/>
        <v>0</v>
      </c>
      <c r="AM12" s="5">
        <f t="shared" si="2"/>
        <v>0</v>
      </c>
      <c r="AN12" s="5">
        <f t="shared" si="3"/>
        <v>0</v>
      </c>
      <c r="AO12" s="5">
        <f t="shared" si="4"/>
        <v>0</v>
      </c>
      <c r="AP12" s="5">
        <f t="shared" si="5"/>
        <v>0</v>
      </c>
    </row>
    <row r="13" spans="1:42" ht="14.5" x14ac:dyDescent="0.35"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f t="shared" si="0"/>
        <v>31</v>
      </c>
      <c r="AL13" s="5">
        <f t="shared" si="1"/>
        <v>0</v>
      </c>
      <c r="AM13" s="5">
        <f t="shared" si="2"/>
        <v>0</v>
      </c>
      <c r="AN13" s="5">
        <f t="shared" si="3"/>
        <v>0</v>
      </c>
      <c r="AO13" s="5">
        <f t="shared" si="4"/>
        <v>0</v>
      </c>
      <c r="AP13" s="5">
        <f t="shared" si="5"/>
        <v>0</v>
      </c>
    </row>
    <row r="14" spans="1:42" ht="14.5" x14ac:dyDescent="0.35"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f t="shared" si="0"/>
        <v>31</v>
      </c>
      <c r="AL14" s="5">
        <f t="shared" si="1"/>
        <v>0</v>
      </c>
      <c r="AM14" s="5">
        <f t="shared" si="2"/>
        <v>0</v>
      </c>
      <c r="AN14" s="5">
        <f t="shared" si="3"/>
        <v>0</v>
      </c>
      <c r="AO14" s="5">
        <f t="shared" si="4"/>
        <v>0</v>
      </c>
      <c r="AP14" s="5">
        <f t="shared" si="5"/>
        <v>0</v>
      </c>
    </row>
    <row r="15" spans="1:42" ht="14.5" x14ac:dyDescent="0.35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f t="shared" si="0"/>
        <v>31</v>
      </c>
      <c r="AL15" s="5">
        <f t="shared" si="1"/>
        <v>0</v>
      </c>
      <c r="AM15" s="5">
        <f t="shared" si="2"/>
        <v>0</v>
      </c>
      <c r="AN15" s="5">
        <f t="shared" si="3"/>
        <v>0</v>
      </c>
      <c r="AO15" s="5">
        <f t="shared" si="4"/>
        <v>0</v>
      </c>
      <c r="AP15" s="5">
        <f t="shared" si="5"/>
        <v>0</v>
      </c>
    </row>
    <row r="16" spans="1:42" ht="14.5" x14ac:dyDescent="0.3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f t="shared" si="0"/>
        <v>31</v>
      </c>
      <c r="AL16" s="5">
        <f t="shared" si="1"/>
        <v>0</v>
      </c>
      <c r="AM16" s="5">
        <f t="shared" si="2"/>
        <v>0</v>
      </c>
      <c r="AN16" s="5">
        <f t="shared" si="3"/>
        <v>0</v>
      </c>
      <c r="AO16" s="5">
        <f t="shared" si="4"/>
        <v>0</v>
      </c>
      <c r="AP16" s="5">
        <f t="shared" si="5"/>
        <v>0</v>
      </c>
    </row>
    <row r="17" spans="6:42" ht="14.5" x14ac:dyDescent="0.3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f t="shared" si="0"/>
        <v>31</v>
      </c>
      <c r="AL17" s="5">
        <f t="shared" si="1"/>
        <v>0</v>
      </c>
      <c r="AM17" s="5">
        <f t="shared" si="2"/>
        <v>0</v>
      </c>
      <c r="AN17" s="5">
        <f t="shared" si="3"/>
        <v>0</v>
      </c>
      <c r="AO17" s="5">
        <f t="shared" si="4"/>
        <v>0</v>
      </c>
      <c r="AP17" s="5">
        <f t="shared" si="5"/>
        <v>0</v>
      </c>
    </row>
    <row r="18" spans="6:42" ht="14.5" x14ac:dyDescent="0.3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f t="shared" si="0"/>
        <v>31</v>
      </c>
      <c r="AL18" s="5">
        <f t="shared" si="1"/>
        <v>0</v>
      </c>
      <c r="AM18" s="5">
        <f t="shared" si="2"/>
        <v>0</v>
      </c>
      <c r="AN18" s="5">
        <f t="shared" si="3"/>
        <v>0</v>
      </c>
      <c r="AO18" s="5">
        <f t="shared" si="4"/>
        <v>0</v>
      </c>
      <c r="AP18" s="5">
        <f t="shared" si="5"/>
        <v>0</v>
      </c>
    </row>
    <row r="19" spans="6:42" ht="14.5" x14ac:dyDescent="0.35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f t="shared" si="0"/>
        <v>31</v>
      </c>
      <c r="AL19" s="5">
        <f t="shared" si="1"/>
        <v>0</v>
      </c>
      <c r="AM19" s="5">
        <f t="shared" si="2"/>
        <v>0</v>
      </c>
      <c r="AN19" s="5">
        <f t="shared" si="3"/>
        <v>0</v>
      </c>
      <c r="AO19" s="5">
        <f t="shared" si="4"/>
        <v>0</v>
      </c>
      <c r="AP19" s="5">
        <f t="shared" si="5"/>
        <v>0</v>
      </c>
    </row>
    <row r="20" spans="6:42" ht="14.5" x14ac:dyDescent="0.3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f t="shared" si="0"/>
        <v>31</v>
      </c>
      <c r="AL20" s="5">
        <f t="shared" si="1"/>
        <v>0</v>
      </c>
      <c r="AM20" s="5">
        <f t="shared" si="2"/>
        <v>0</v>
      </c>
      <c r="AN20" s="5">
        <f t="shared" si="3"/>
        <v>0</v>
      </c>
      <c r="AO20" s="5">
        <f t="shared" si="4"/>
        <v>0</v>
      </c>
      <c r="AP20" s="5">
        <f t="shared" si="5"/>
        <v>0</v>
      </c>
    </row>
    <row r="21" spans="6:42" ht="15.75" customHeight="1" x14ac:dyDescent="0.35"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f t="shared" si="0"/>
        <v>31</v>
      </c>
      <c r="AL21" s="5">
        <f t="shared" si="1"/>
        <v>0</v>
      </c>
      <c r="AM21" s="5">
        <f t="shared" si="2"/>
        <v>0</v>
      </c>
      <c r="AN21" s="5">
        <f t="shared" si="3"/>
        <v>0</v>
      </c>
      <c r="AO21" s="5">
        <f t="shared" si="4"/>
        <v>0</v>
      </c>
      <c r="AP21" s="5">
        <f t="shared" si="5"/>
        <v>0</v>
      </c>
    </row>
    <row r="22" spans="6:42" ht="15.75" customHeight="1" x14ac:dyDescent="0.35"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f t="shared" si="0"/>
        <v>31</v>
      </c>
      <c r="AL22" s="5">
        <f t="shared" si="1"/>
        <v>0</v>
      </c>
      <c r="AM22" s="5">
        <f t="shared" si="2"/>
        <v>0</v>
      </c>
      <c r="AN22" s="5">
        <f t="shared" si="3"/>
        <v>0</v>
      </c>
      <c r="AO22" s="5">
        <f t="shared" si="4"/>
        <v>0</v>
      </c>
      <c r="AP22" s="5">
        <f t="shared" si="5"/>
        <v>0</v>
      </c>
    </row>
    <row r="23" spans="6:42" ht="15.75" customHeight="1" x14ac:dyDescent="0.35"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f t="shared" si="0"/>
        <v>31</v>
      </c>
      <c r="AL23" s="5">
        <f t="shared" si="1"/>
        <v>0</v>
      </c>
      <c r="AM23" s="5">
        <f t="shared" si="2"/>
        <v>0</v>
      </c>
      <c r="AN23" s="5">
        <f t="shared" si="3"/>
        <v>0</v>
      </c>
      <c r="AO23" s="5">
        <f t="shared" si="4"/>
        <v>0</v>
      </c>
      <c r="AP23" s="5">
        <f t="shared" si="5"/>
        <v>0</v>
      </c>
    </row>
    <row r="24" spans="6:42" ht="15.75" customHeight="1" x14ac:dyDescent="0.35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f t="shared" si="0"/>
        <v>31</v>
      </c>
      <c r="AL24" s="5">
        <f t="shared" si="1"/>
        <v>0</v>
      </c>
      <c r="AM24" s="5">
        <f t="shared" si="2"/>
        <v>0</v>
      </c>
      <c r="AN24" s="5">
        <f t="shared" si="3"/>
        <v>0</v>
      </c>
      <c r="AO24" s="5">
        <f t="shared" si="4"/>
        <v>0</v>
      </c>
      <c r="AP24" s="5">
        <f t="shared" si="5"/>
        <v>0</v>
      </c>
    </row>
    <row r="25" spans="6:42" ht="15.75" customHeight="1" x14ac:dyDescent="0.35"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f t="shared" si="0"/>
        <v>31</v>
      </c>
      <c r="AL25" s="5">
        <f t="shared" si="1"/>
        <v>0</v>
      </c>
      <c r="AM25" s="5">
        <f t="shared" si="2"/>
        <v>0</v>
      </c>
      <c r="AN25" s="5">
        <f t="shared" si="3"/>
        <v>0</v>
      </c>
      <c r="AO25" s="5">
        <f t="shared" si="4"/>
        <v>0</v>
      </c>
      <c r="AP25" s="5">
        <f t="shared" si="5"/>
        <v>0</v>
      </c>
    </row>
    <row r="26" spans="6:42" ht="15.75" customHeight="1" x14ac:dyDescent="0.35"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>
        <f t="shared" si="0"/>
        <v>31</v>
      </c>
      <c r="AL26" s="5">
        <f t="shared" si="1"/>
        <v>0</v>
      </c>
      <c r="AM26" s="5">
        <f t="shared" si="2"/>
        <v>0</v>
      </c>
      <c r="AN26" s="5">
        <f t="shared" si="3"/>
        <v>0</v>
      </c>
      <c r="AO26" s="5">
        <f t="shared" si="4"/>
        <v>0</v>
      </c>
      <c r="AP26" s="5">
        <f t="shared" si="5"/>
        <v>0</v>
      </c>
    </row>
    <row r="27" spans="6:42" ht="15.75" customHeight="1" x14ac:dyDescent="0.35"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>
        <f t="shared" si="0"/>
        <v>31</v>
      </c>
      <c r="AL27" s="5">
        <f t="shared" si="1"/>
        <v>0</v>
      </c>
      <c r="AM27" s="5">
        <f t="shared" si="2"/>
        <v>0</v>
      </c>
      <c r="AN27" s="5">
        <f t="shared" si="3"/>
        <v>0</v>
      </c>
      <c r="AO27" s="5">
        <f t="shared" si="4"/>
        <v>0</v>
      </c>
      <c r="AP27" s="5">
        <f t="shared" si="5"/>
        <v>0</v>
      </c>
    </row>
    <row r="28" spans="6:42" ht="15.75" customHeight="1" x14ac:dyDescent="0.35"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>
        <f t="shared" si="0"/>
        <v>31</v>
      </c>
      <c r="AL28" s="5">
        <f t="shared" si="1"/>
        <v>0</v>
      </c>
      <c r="AM28" s="5">
        <f t="shared" si="2"/>
        <v>0</v>
      </c>
      <c r="AN28" s="5">
        <f t="shared" si="3"/>
        <v>0</v>
      </c>
      <c r="AO28" s="5">
        <f t="shared" si="4"/>
        <v>0</v>
      </c>
      <c r="AP28" s="5">
        <f t="shared" si="5"/>
        <v>0</v>
      </c>
    </row>
    <row r="29" spans="6:42" ht="15.75" customHeight="1" x14ac:dyDescent="0.35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f t="shared" si="0"/>
        <v>31</v>
      </c>
      <c r="AL29" s="5">
        <f t="shared" si="1"/>
        <v>0</v>
      </c>
      <c r="AM29" s="5">
        <f t="shared" si="2"/>
        <v>0</v>
      </c>
      <c r="AN29" s="5">
        <f t="shared" si="3"/>
        <v>0</v>
      </c>
      <c r="AO29" s="5">
        <f t="shared" si="4"/>
        <v>0</v>
      </c>
      <c r="AP29" s="5">
        <f t="shared" si="5"/>
        <v>0</v>
      </c>
    </row>
    <row r="30" spans="6:42" ht="15.75" customHeight="1" x14ac:dyDescent="0.35"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>
        <f t="shared" si="0"/>
        <v>31</v>
      </c>
      <c r="AL30" s="5">
        <f t="shared" si="1"/>
        <v>0</v>
      </c>
      <c r="AM30" s="5">
        <f t="shared" si="2"/>
        <v>0</v>
      </c>
      <c r="AN30" s="5">
        <f t="shared" si="3"/>
        <v>0</v>
      </c>
      <c r="AO30" s="5">
        <f t="shared" si="4"/>
        <v>0</v>
      </c>
      <c r="AP30" s="5">
        <f t="shared" si="5"/>
        <v>0</v>
      </c>
    </row>
    <row r="31" spans="6:42" ht="15.75" customHeight="1" x14ac:dyDescent="0.35"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f t="shared" si="0"/>
        <v>31</v>
      </c>
      <c r="AL31" s="5">
        <f t="shared" si="1"/>
        <v>0</v>
      </c>
      <c r="AM31" s="5">
        <f t="shared" si="2"/>
        <v>0</v>
      </c>
      <c r="AN31" s="5">
        <f t="shared" si="3"/>
        <v>0</v>
      </c>
      <c r="AO31" s="5">
        <f t="shared" si="4"/>
        <v>0</v>
      </c>
      <c r="AP31" s="5">
        <f t="shared" si="5"/>
        <v>0</v>
      </c>
    </row>
    <row r="32" spans="6:42" ht="15.75" customHeight="1" x14ac:dyDescent="0.35"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>
        <f t="shared" si="0"/>
        <v>31</v>
      </c>
      <c r="AL32" s="5">
        <f t="shared" si="1"/>
        <v>0</v>
      </c>
      <c r="AM32" s="5">
        <f t="shared" si="2"/>
        <v>0</v>
      </c>
      <c r="AN32" s="5">
        <f t="shared" si="3"/>
        <v>0</v>
      </c>
      <c r="AO32" s="5">
        <f t="shared" si="4"/>
        <v>0</v>
      </c>
      <c r="AP32" s="5">
        <f t="shared" si="5"/>
        <v>0</v>
      </c>
    </row>
    <row r="33" spans="6:42" ht="15.75" customHeight="1" x14ac:dyDescent="0.35"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f t="shared" si="0"/>
        <v>31</v>
      </c>
      <c r="AL33" s="5">
        <f t="shared" si="1"/>
        <v>0</v>
      </c>
      <c r="AM33" s="5">
        <f t="shared" si="2"/>
        <v>0</v>
      </c>
      <c r="AN33" s="5">
        <f t="shared" si="3"/>
        <v>0</v>
      </c>
      <c r="AO33" s="5">
        <f t="shared" si="4"/>
        <v>0</v>
      </c>
      <c r="AP33" s="5">
        <f t="shared" si="5"/>
        <v>0</v>
      </c>
    </row>
    <row r="34" spans="6:42" ht="15.75" customHeight="1" x14ac:dyDescent="0.35"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f t="shared" si="0"/>
        <v>31</v>
      </c>
      <c r="AL34" s="5">
        <f t="shared" si="1"/>
        <v>0</v>
      </c>
      <c r="AM34" s="5">
        <f t="shared" si="2"/>
        <v>0</v>
      </c>
      <c r="AN34" s="5">
        <f t="shared" si="3"/>
        <v>0</v>
      </c>
      <c r="AO34" s="5">
        <f t="shared" si="4"/>
        <v>0</v>
      </c>
      <c r="AP34" s="5">
        <f t="shared" si="5"/>
        <v>0</v>
      </c>
    </row>
    <row r="35" spans="6:42" ht="15.75" customHeight="1" x14ac:dyDescent="0.35"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>
        <f t="shared" si="0"/>
        <v>31</v>
      </c>
      <c r="AL35" s="5">
        <f t="shared" si="1"/>
        <v>0</v>
      </c>
      <c r="AM35" s="5">
        <f t="shared" si="2"/>
        <v>0</v>
      </c>
      <c r="AN35" s="5">
        <f t="shared" si="3"/>
        <v>0</v>
      </c>
      <c r="AO35" s="5">
        <f t="shared" si="4"/>
        <v>0</v>
      </c>
      <c r="AP35" s="5">
        <f t="shared" si="5"/>
        <v>0</v>
      </c>
    </row>
    <row r="36" spans="6:42" ht="15.75" customHeight="1" x14ac:dyDescent="0.35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>
        <f t="shared" si="0"/>
        <v>31</v>
      </c>
      <c r="AL36" s="5">
        <f t="shared" si="1"/>
        <v>0</v>
      </c>
      <c r="AM36" s="5">
        <f t="shared" si="2"/>
        <v>0</v>
      </c>
      <c r="AN36" s="5">
        <f t="shared" si="3"/>
        <v>0</v>
      </c>
      <c r="AO36" s="5">
        <f t="shared" si="4"/>
        <v>0</v>
      </c>
      <c r="AP36" s="5">
        <f t="shared" si="5"/>
        <v>0</v>
      </c>
    </row>
    <row r="37" spans="6:42" ht="15.75" customHeight="1" x14ac:dyDescent="0.35"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f t="shared" si="0"/>
        <v>31</v>
      </c>
      <c r="AL37" s="5">
        <f t="shared" si="1"/>
        <v>0</v>
      </c>
      <c r="AM37" s="5">
        <f t="shared" si="2"/>
        <v>0</v>
      </c>
      <c r="AN37" s="5">
        <f t="shared" si="3"/>
        <v>0</v>
      </c>
      <c r="AO37" s="5">
        <f t="shared" si="4"/>
        <v>0</v>
      </c>
      <c r="AP37" s="5">
        <f t="shared" si="5"/>
        <v>0</v>
      </c>
    </row>
    <row r="38" spans="6:42" ht="15.75" customHeight="1" x14ac:dyDescent="0.35"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f t="shared" si="0"/>
        <v>31</v>
      </c>
      <c r="AL38" s="5">
        <f t="shared" si="1"/>
        <v>0</v>
      </c>
      <c r="AM38" s="5">
        <f t="shared" si="2"/>
        <v>0</v>
      </c>
      <c r="AN38" s="5">
        <f t="shared" si="3"/>
        <v>0</v>
      </c>
      <c r="AO38" s="5">
        <f t="shared" si="4"/>
        <v>0</v>
      </c>
      <c r="AP38" s="5">
        <f t="shared" si="5"/>
        <v>0</v>
      </c>
    </row>
    <row r="39" spans="6:42" ht="15.75" customHeight="1" x14ac:dyDescent="0.35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f t="shared" si="0"/>
        <v>31</v>
      </c>
      <c r="AL39" s="5">
        <f t="shared" si="1"/>
        <v>0</v>
      </c>
      <c r="AM39" s="5">
        <f t="shared" si="2"/>
        <v>0</v>
      </c>
      <c r="AN39" s="5">
        <f t="shared" si="3"/>
        <v>0</v>
      </c>
      <c r="AO39" s="5">
        <f t="shared" si="4"/>
        <v>0</v>
      </c>
      <c r="AP39" s="5">
        <f t="shared" si="5"/>
        <v>0</v>
      </c>
    </row>
    <row r="40" spans="6:42" ht="15.75" customHeight="1" x14ac:dyDescent="0.35"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f t="shared" si="0"/>
        <v>31</v>
      </c>
      <c r="AL40" s="5">
        <f t="shared" si="1"/>
        <v>0</v>
      </c>
      <c r="AM40" s="5">
        <f t="shared" si="2"/>
        <v>0</v>
      </c>
      <c r="AN40" s="5">
        <f t="shared" si="3"/>
        <v>0</v>
      </c>
      <c r="AO40" s="5">
        <f t="shared" si="4"/>
        <v>0</v>
      </c>
      <c r="AP40" s="5">
        <f t="shared" si="5"/>
        <v>0</v>
      </c>
    </row>
    <row r="41" spans="6:42" ht="15.75" customHeight="1" x14ac:dyDescent="0.35"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>
        <f t="shared" si="0"/>
        <v>31</v>
      </c>
      <c r="AL41" s="5">
        <f t="shared" si="1"/>
        <v>0</v>
      </c>
      <c r="AM41" s="5">
        <f t="shared" si="2"/>
        <v>0</v>
      </c>
      <c r="AN41" s="5">
        <f t="shared" si="3"/>
        <v>0</v>
      </c>
      <c r="AO41" s="5">
        <f t="shared" si="4"/>
        <v>0</v>
      </c>
      <c r="AP41" s="5">
        <f t="shared" si="5"/>
        <v>0</v>
      </c>
    </row>
    <row r="42" spans="6:42" ht="15.75" customHeight="1" x14ac:dyDescent="0.35"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f t="shared" si="0"/>
        <v>31</v>
      </c>
      <c r="AL42" s="5">
        <f t="shared" si="1"/>
        <v>0</v>
      </c>
      <c r="AM42" s="5">
        <f t="shared" si="2"/>
        <v>0</v>
      </c>
      <c r="AN42" s="5">
        <f t="shared" si="3"/>
        <v>0</v>
      </c>
      <c r="AO42" s="5">
        <f t="shared" si="4"/>
        <v>0</v>
      </c>
      <c r="AP42" s="5">
        <f t="shared" si="5"/>
        <v>0</v>
      </c>
    </row>
    <row r="43" spans="6:42" ht="15.75" customHeight="1" x14ac:dyDescent="0.35"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>
        <f t="shared" si="0"/>
        <v>31</v>
      </c>
      <c r="AL43" s="5">
        <f t="shared" si="1"/>
        <v>0</v>
      </c>
      <c r="AM43" s="5">
        <f t="shared" si="2"/>
        <v>0</v>
      </c>
      <c r="AN43" s="5">
        <f t="shared" si="3"/>
        <v>0</v>
      </c>
      <c r="AO43" s="5">
        <f t="shared" si="4"/>
        <v>0</v>
      </c>
      <c r="AP43" s="5">
        <f t="shared" si="5"/>
        <v>0</v>
      </c>
    </row>
    <row r="44" spans="6:42" ht="15.75" customHeight="1" x14ac:dyDescent="0.35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f t="shared" si="0"/>
        <v>31</v>
      </c>
      <c r="AL44" s="5">
        <f t="shared" si="1"/>
        <v>0</v>
      </c>
      <c r="AM44" s="5">
        <f t="shared" si="2"/>
        <v>0</v>
      </c>
      <c r="AN44" s="5">
        <f t="shared" si="3"/>
        <v>0</v>
      </c>
      <c r="AO44" s="5">
        <f t="shared" si="4"/>
        <v>0</v>
      </c>
      <c r="AP44" s="5">
        <f t="shared" si="5"/>
        <v>0</v>
      </c>
    </row>
    <row r="45" spans="6:42" ht="15.75" customHeight="1" x14ac:dyDescent="0.35"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f t="shared" si="0"/>
        <v>31</v>
      </c>
      <c r="AL45" s="5">
        <f t="shared" si="1"/>
        <v>0</v>
      </c>
      <c r="AM45" s="5">
        <f t="shared" si="2"/>
        <v>0</v>
      </c>
      <c r="AN45" s="5">
        <f t="shared" si="3"/>
        <v>0</v>
      </c>
      <c r="AO45" s="5">
        <f t="shared" si="4"/>
        <v>0</v>
      </c>
      <c r="AP45" s="5">
        <f t="shared" si="5"/>
        <v>0</v>
      </c>
    </row>
    <row r="46" spans="6:42" ht="15.75" customHeight="1" x14ac:dyDescent="0.35"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>
        <f t="shared" si="0"/>
        <v>31</v>
      </c>
      <c r="AL46" s="5">
        <f t="shared" si="1"/>
        <v>0</v>
      </c>
      <c r="AM46" s="5">
        <f t="shared" si="2"/>
        <v>0</v>
      </c>
      <c r="AN46" s="5">
        <f t="shared" si="3"/>
        <v>0</v>
      </c>
      <c r="AO46" s="5">
        <f t="shared" si="4"/>
        <v>0</v>
      </c>
      <c r="AP46" s="5">
        <f t="shared" si="5"/>
        <v>0</v>
      </c>
    </row>
    <row r="47" spans="6:42" ht="15.75" customHeight="1" x14ac:dyDescent="0.35"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f t="shared" si="0"/>
        <v>31</v>
      </c>
      <c r="AL47" s="5">
        <f t="shared" si="1"/>
        <v>0</v>
      </c>
      <c r="AM47" s="5">
        <f t="shared" si="2"/>
        <v>0</v>
      </c>
      <c r="AN47" s="5">
        <f t="shared" si="3"/>
        <v>0</v>
      </c>
      <c r="AO47" s="5">
        <f t="shared" si="4"/>
        <v>0</v>
      </c>
      <c r="AP47" s="5">
        <f t="shared" si="5"/>
        <v>0</v>
      </c>
    </row>
    <row r="48" spans="6:42" ht="15.75" customHeight="1" x14ac:dyDescent="0.35"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f t="shared" si="0"/>
        <v>31</v>
      </c>
      <c r="AL48" s="5">
        <f t="shared" si="1"/>
        <v>0</v>
      </c>
      <c r="AM48" s="5">
        <f t="shared" si="2"/>
        <v>0</v>
      </c>
      <c r="AN48" s="5">
        <f t="shared" si="3"/>
        <v>0</v>
      </c>
      <c r="AO48" s="5">
        <f t="shared" si="4"/>
        <v>0</v>
      </c>
      <c r="AP48" s="5">
        <f t="shared" si="5"/>
        <v>0</v>
      </c>
    </row>
    <row r="49" spans="6:42" ht="15.75" customHeight="1" x14ac:dyDescent="0.35"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>
        <f t="shared" si="0"/>
        <v>31</v>
      </c>
      <c r="AL49" s="5">
        <f t="shared" si="1"/>
        <v>0</v>
      </c>
      <c r="AM49" s="5">
        <f t="shared" si="2"/>
        <v>0</v>
      </c>
      <c r="AN49" s="5">
        <f t="shared" si="3"/>
        <v>0</v>
      </c>
      <c r="AO49" s="5">
        <f t="shared" si="4"/>
        <v>0</v>
      </c>
      <c r="AP49" s="5">
        <f t="shared" si="5"/>
        <v>0</v>
      </c>
    </row>
    <row r="50" spans="6:42" ht="15.75" customHeight="1" x14ac:dyDescent="0.35"/>
    <row r="51" spans="6:42" ht="15.75" customHeight="1" x14ac:dyDescent="0.35"/>
    <row r="52" spans="6:42" ht="15.75" customHeight="1" x14ac:dyDescent="0.35"/>
    <row r="53" spans="6:42" ht="15.75" customHeight="1" x14ac:dyDescent="0.35"/>
    <row r="54" spans="6:42" ht="15.75" customHeight="1" x14ac:dyDescent="0.35"/>
    <row r="55" spans="6:42" ht="15.75" customHeight="1" x14ac:dyDescent="0.35"/>
    <row r="56" spans="6:42" ht="15.75" customHeight="1" x14ac:dyDescent="0.35"/>
    <row r="57" spans="6:42" ht="15.75" customHeight="1" x14ac:dyDescent="0.35"/>
    <row r="58" spans="6:42" ht="15.75" customHeight="1" x14ac:dyDescent="0.35"/>
    <row r="59" spans="6:42" ht="15.75" customHeight="1" x14ac:dyDescent="0.35"/>
    <row r="60" spans="6:42" ht="15.75" customHeight="1" x14ac:dyDescent="0.35"/>
    <row r="61" spans="6:42" ht="15.75" customHeight="1" x14ac:dyDescent="0.35"/>
    <row r="62" spans="6:42" ht="15.75" customHeight="1" x14ac:dyDescent="0.35"/>
    <row r="63" spans="6:42" ht="15.75" customHeight="1" x14ac:dyDescent="0.35"/>
    <row r="64" spans="6:42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1">
    <dataValidation type="list" allowBlank="1" sqref="F2:AJ49" xr:uid="{00000000-0002-0000-0500-000000000000}">
      <formula1>"P,A,H,CL,SL"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1000"/>
  <sheetViews>
    <sheetView workbookViewId="0"/>
  </sheetViews>
  <sheetFormatPr defaultColWidth="14.453125" defaultRowHeight="15" customHeight="1" x14ac:dyDescent="0.35"/>
  <cols>
    <col min="1" max="42" width="8.7265625" customWidth="1"/>
  </cols>
  <sheetData>
    <row r="1" spans="1:4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5" x14ac:dyDescent="0.35"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f t="shared" ref="AK2:AK49" si="0">COUNTIF(F2:AJ2,"&lt;&gt;H")</f>
        <v>31</v>
      </c>
      <c r="AL2" s="5">
        <f t="shared" ref="AL2:AL49" si="1">COUNTIF(F2:AJ2,"P")</f>
        <v>0</v>
      </c>
      <c r="AM2" s="5">
        <f t="shared" ref="AM2:AM49" si="2">COUNTIF(F2:AJ2,"CL")</f>
        <v>0</v>
      </c>
      <c r="AN2" s="5">
        <f t="shared" ref="AN2:AN49" si="3">COUNTIF(F2:AJ2,"SL")</f>
        <v>0</v>
      </c>
      <c r="AO2" s="5">
        <f t="shared" ref="AO2:AO49" si="4">COUNTIF(F2:AJ2,"A")</f>
        <v>0</v>
      </c>
      <c r="AP2" s="5">
        <f t="shared" ref="AP2:AP49" si="5">(D2/AK2)*AL2</f>
        <v>0</v>
      </c>
    </row>
    <row r="3" spans="1:42" ht="14.5" x14ac:dyDescent="0.35"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f t="shared" si="0"/>
        <v>31</v>
      </c>
      <c r="AL3" s="5">
        <f t="shared" si="1"/>
        <v>0</v>
      </c>
      <c r="AM3" s="5">
        <f t="shared" si="2"/>
        <v>0</v>
      </c>
      <c r="AN3" s="5">
        <f t="shared" si="3"/>
        <v>0</v>
      </c>
      <c r="AO3" s="5">
        <f t="shared" si="4"/>
        <v>0</v>
      </c>
      <c r="AP3" s="5">
        <f t="shared" si="5"/>
        <v>0</v>
      </c>
    </row>
    <row r="4" spans="1:42" ht="14.5" x14ac:dyDescent="0.35"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f t="shared" si="0"/>
        <v>31</v>
      </c>
      <c r="AL4" s="5">
        <f t="shared" si="1"/>
        <v>0</v>
      </c>
      <c r="AM4" s="5">
        <f t="shared" si="2"/>
        <v>0</v>
      </c>
      <c r="AN4" s="5">
        <f t="shared" si="3"/>
        <v>0</v>
      </c>
      <c r="AO4" s="5">
        <f t="shared" si="4"/>
        <v>0</v>
      </c>
      <c r="AP4" s="5">
        <f t="shared" si="5"/>
        <v>0</v>
      </c>
    </row>
    <row r="5" spans="1:42" ht="14.5" x14ac:dyDescent="0.35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f t="shared" si="0"/>
        <v>31</v>
      </c>
      <c r="AL5" s="5">
        <f t="shared" si="1"/>
        <v>0</v>
      </c>
      <c r="AM5" s="5">
        <f t="shared" si="2"/>
        <v>0</v>
      </c>
      <c r="AN5" s="5">
        <f t="shared" si="3"/>
        <v>0</v>
      </c>
      <c r="AO5" s="5">
        <f t="shared" si="4"/>
        <v>0</v>
      </c>
      <c r="AP5" s="5">
        <f t="shared" si="5"/>
        <v>0</v>
      </c>
    </row>
    <row r="6" spans="1:42" ht="14.5" x14ac:dyDescent="0.35"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f t="shared" si="0"/>
        <v>31</v>
      </c>
      <c r="AL6" s="5">
        <f t="shared" si="1"/>
        <v>0</v>
      </c>
      <c r="AM6" s="5">
        <f t="shared" si="2"/>
        <v>0</v>
      </c>
      <c r="AN6" s="5">
        <f t="shared" si="3"/>
        <v>0</v>
      </c>
      <c r="AO6" s="5">
        <f t="shared" si="4"/>
        <v>0</v>
      </c>
      <c r="AP6" s="5">
        <f t="shared" si="5"/>
        <v>0</v>
      </c>
    </row>
    <row r="7" spans="1:42" ht="14.5" x14ac:dyDescent="0.35"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f t="shared" si="0"/>
        <v>31</v>
      </c>
      <c r="AL7" s="5">
        <f t="shared" si="1"/>
        <v>0</v>
      </c>
      <c r="AM7" s="5">
        <f t="shared" si="2"/>
        <v>0</v>
      </c>
      <c r="AN7" s="5">
        <f t="shared" si="3"/>
        <v>0</v>
      </c>
      <c r="AO7" s="5">
        <f t="shared" si="4"/>
        <v>0</v>
      </c>
      <c r="AP7" s="5">
        <f t="shared" si="5"/>
        <v>0</v>
      </c>
    </row>
    <row r="8" spans="1:42" ht="14.5" x14ac:dyDescent="0.35"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f t="shared" si="0"/>
        <v>31</v>
      </c>
      <c r="AL8" s="5">
        <f t="shared" si="1"/>
        <v>0</v>
      </c>
      <c r="AM8" s="5">
        <f t="shared" si="2"/>
        <v>0</v>
      </c>
      <c r="AN8" s="5">
        <f t="shared" si="3"/>
        <v>0</v>
      </c>
      <c r="AO8" s="5">
        <f t="shared" si="4"/>
        <v>0</v>
      </c>
      <c r="AP8" s="5">
        <f t="shared" si="5"/>
        <v>0</v>
      </c>
    </row>
    <row r="9" spans="1:42" ht="14.5" x14ac:dyDescent="0.35"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f t="shared" si="0"/>
        <v>31</v>
      </c>
      <c r="AL9" s="5">
        <f t="shared" si="1"/>
        <v>0</v>
      </c>
      <c r="AM9" s="5">
        <f t="shared" si="2"/>
        <v>0</v>
      </c>
      <c r="AN9" s="5">
        <f t="shared" si="3"/>
        <v>0</v>
      </c>
      <c r="AO9" s="5">
        <f t="shared" si="4"/>
        <v>0</v>
      </c>
      <c r="AP9" s="5">
        <f t="shared" si="5"/>
        <v>0</v>
      </c>
    </row>
    <row r="10" spans="1:42" ht="14.5" x14ac:dyDescent="0.35"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f t="shared" si="0"/>
        <v>31</v>
      </c>
      <c r="AL10" s="5">
        <f t="shared" si="1"/>
        <v>0</v>
      </c>
      <c r="AM10" s="5">
        <f t="shared" si="2"/>
        <v>0</v>
      </c>
      <c r="AN10" s="5">
        <f t="shared" si="3"/>
        <v>0</v>
      </c>
      <c r="AO10" s="5">
        <f t="shared" si="4"/>
        <v>0</v>
      </c>
      <c r="AP10" s="5">
        <f t="shared" si="5"/>
        <v>0</v>
      </c>
    </row>
    <row r="11" spans="1:42" ht="14.5" x14ac:dyDescent="0.35"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f t="shared" si="0"/>
        <v>31</v>
      </c>
      <c r="AL11" s="5">
        <f t="shared" si="1"/>
        <v>0</v>
      </c>
      <c r="AM11" s="5">
        <f t="shared" si="2"/>
        <v>0</v>
      </c>
      <c r="AN11" s="5">
        <f t="shared" si="3"/>
        <v>0</v>
      </c>
      <c r="AO11" s="5">
        <f t="shared" si="4"/>
        <v>0</v>
      </c>
      <c r="AP11" s="5">
        <f t="shared" si="5"/>
        <v>0</v>
      </c>
    </row>
    <row r="12" spans="1:42" ht="14.5" x14ac:dyDescent="0.35"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f t="shared" si="0"/>
        <v>31</v>
      </c>
      <c r="AL12" s="5">
        <f t="shared" si="1"/>
        <v>0</v>
      </c>
      <c r="AM12" s="5">
        <f t="shared" si="2"/>
        <v>0</v>
      </c>
      <c r="AN12" s="5">
        <f t="shared" si="3"/>
        <v>0</v>
      </c>
      <c r="AO12" s="5">
        <f t="shared" si="4"/>
        <v>0</v>
      </c>
      <c r="AP12" s="5">
        <f t="shared" si="5"/>
        <v>0</v>
      </c>
    </row>
    <row r="13" spans="1:42" ht="14.5" x14ac:dyDescent="0.35"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f t="shared" si="0"/>
        <v>31</v>
      </c>
      <c r="AL13" s="5">
        <f t="shared" si="1"/>
        <v>0</v>
      </c>
      <c r="AM13" s="5">
        <f t="shared" si="2"/>
        <v>0</v>
      </c>
      <c r="AN13" s="5">
        <f t="shared" si="3"/>
        <v>0</v>
      </c>
      <c r="AO13" s="5">
        <f t="shared" si="4"/>
        <v>0</v>
      </c>
      <c r="AP13" s="5">
        <f t="shared" si="5"/>
        <v>0</v>
      </c>
    </row>
    <row r="14" spans="1:42" ht="14.5" x14ac:dyDescent="0.35"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f t="shared" si="0"/>
        <v>31</v>
      </c>
      <c r="AL14" s="5">
        <f t="shared" si="1"/>
        <v>0</v>
      </c>
      <c r="AM14" s="5">
        <f t="shared" si="2"/>
        <v>0</v>
      </c>
      <c r="AN14" s="5">
        <f t="shared" si="3"/>
        <v>0</v>
      </c>
      <c r="AO14" s="5">
        <f t="shared" si="4"/>
        <v>0</v>
      </c>
      <c r="AP14" s="5">
        <f t="shared" si="5"/>
        <v>0</v>
      </c>
    </row>
    <row r="15" spans="1:42" ht="14.5" x14ac:dyDescent="0.35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f t="shared" si="0"/>
        <v>31</v>
      </c>
      <c r="AL15" s="5">
        <f t="shared" si="1"/>
        <v>0</v>
      </c>
      <c r="AM15" s="5">
        <f t="shared" si="2"/>
        <v>0</v>
      </c>
      <c r="AN15" s="5">
        <f t="shared" si="3"/>
        <v>0</v>
      </c>
      <c r="AO15" s="5">
        <f t="shared" si="4"/>
        <v>0</v>
      </c>
      <c r="AP15" s="5">
        <f t="shared" si="5"/>
        <v>0</v>
      </c>
    </row>
    <row r="16" spans="1:42" ht="14.5" x14ac:dyDescent="0.3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f t="shared" si="0"/>
        <v>31</v>
      </c>
      <c r="AL16" s="5">
        <f t="shared" si="1"/>
        <v>0</v>
      </c>
      <c r="AM16" s="5">
        <f t="shared" si="2"/>
        <v>0</v>
      </c>
      <c r="AN16" s="5">
        <f t="shared" si="3"/>
        <v>0</v>
      </c>
      <c r="AO16" s="5">
        <f t="shared" si="4"/>
        <v>0</v>
      </c>
      <c r="AP16" s="5">
        <f t="shared" si="5"/>
        <v>0</v>
      </c>
    </row>
    <row r="17" spans="6:42" ht="14.5" x14ac:dyDescent="0.3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f t="shared" si="0"/>
        <v>31</v>
      </c>
      <c r="AL17" s="5">
        <f t="shared" si="1"/>
        <v>0</v>
      </c>
      <c r="AM17" s="5">
        <f t="shared" si="2"/>
        <v>0</v>
      </c>
      <c r="AN17" s="5">
        <f t="shared" si="3"/>
        <v>0</v>
      </c>
      <c r="AO17" s="5">
        <f t="shared" si="4"/>
        <v>0</v>
      </c>
      <c r="AP17" s="5">
        <f t="shared" si="5"/>
        <v>0</v>
      </c>
    </row>
    <row r="18" spans="6:42" ht="14.5" x14ac:dyDescent="0.3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f t="shared" si="0"/>
        <v>31</v>
      </c>
      <c r="AL18" s="5">
        <f t="shared" si="1"/>
        <v>0</v>
      </c>
      <c r="AM18" s="5">
        <f t="shared" si="2"/>
        <v>0</v>
      </c>
      <c r="AN18" s="5">
        <f t="shared" si="3"/>
        <v>0</v>
      </c>
      <c r="AO18" s="5">
        <f t="shared" si="4"/>
        <v>0</v>
      </c>
      <c r="AP18" s="5">
        <f t="shared" si="5"/>
        <v>0</v>
      </c>
    </row>
    <row r="19" spans="6:42" ht="14.5" x14ac:dyDescent="0.35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f t="shared" si="0"/>
        <v>31</v>
      </c>
      <c r="AL19" s="5">
        <f t="shared" si="1"/>
        <v>0</v>
      </c>
      <c r="AM19" s="5">
        <f t="shared" si="2"/>
        <v>0</v>
      </c>
      <c r="AN19" s="5">
        <f t="shared" si="3"/>
        <v>0</v>
      </c>
      <c r="AO19" s="5">
        <f t="shared" si="4"/>
        <v>0</v>
      </c>
      <c r="AP19" s="5">
        <f t="shared" si="5"/>
        <v>0</v>
      </c>
    </row>
    <row r="20" spans="6:42" ht="14.5" x14ac:dyDescent="0.3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f t="shared" si="0"/>
        <v>31</v>
      </c>
      <c r="AL20" s="5">
        <f t="shared" si="1"/>
        <v>0</v>
      </c>
      <c r="AM20" s="5">
        <f t="shared" si="2"/>
        <v>0</v>
      </c>
      <c r="AN20" s="5">
        <f t="shared" si="3"/>
        <v>0</v>
      </c>
      <c r="AO20" s="5">
        <f t="shared" si="4"/>
        <v>0</v>
      </c>
      <c r="AP20" s="5">
        <f t="shared" si="5"/>
        <v>0</v>
      </c>
    </row>
    <row r="21" spans="6:42" ht="15.75" customHeight="1" x14ac:dyDescent="0.35"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f t="shared" si="0"/>
        <v>31</v>
      </c>
      <c r="AL21" s="5">
        <f t="shared" si="1"/>
        <v>0</v>
      </c>
      <c r="AM21" s="5">
        <f t="shared" si="2"/>
        <v>0</v>
      </c>
      <c r="AN21" s="5">
        <f t="shared" si="3"/>
        <v>0</v>
      </c>
      <c r="AO21" s="5">
        <f t="shared" si="4"/>
        <v>0</v>
      </c>
      <c r="AP21" s="5">
        <f t="shared" si="5"/>
        <v>0</v>
      </c>
    </row>
    <row r="22" spans="6:42" ht="15.75" customHeight="1" x14ac:dyDescent="0.35"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f t="shared" si="0"/>
        <v>31</v>
      </c>
      <c r="AL22" s="5">
        <f t="shared" si="1"/>
        <v>0</v>
      </c>
      <c r="AM22" s="5">
        <f t="shared" si="2"/>
        <v>0</v>
      </c>
      <c r="AN22" s="5">
        <f t="shared" si="3"/>
        <v>0</v>
      </c>
      <c r="AO22" s="5">
        <f t="shared" si="4"/>
        <v>0</v>
      </c>
      <c r="AP22" s="5">
        <f t="shared" si="5"/>
        <v>0</v>
      </c>
    </row>
    <row r="23" spans="6:42" ht="15.75" customHeight="1" x14ac:dyDescent="0.35"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f t="shared" si="0"/>
        <v>31</v>
      </c>
      <c r="AL23" s="5">
        <f t="shared" si="1"/>
        <v>0</v>
      </c>
      <c r="AM23" s="5">
        <f t="shared" si="2"/>
        <v>0</v>
      </c>
      <c r="AN23" s="5">
        <f t="shared" si="3"/>
        <v>0</v>
      </c>
      <c r="AO23" s="5">
        <f t="shared" si="4"/>
        <v>0</v>
      </c>
      <c r="AP23" s="5">
        <f t="shared" si="5"/>
        <v>0</v>
      </c>
    </row>
    <row r="24" spans="6:42" ht="15.75" customHeight="1" x14ac:dyDescent="0.35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f t="shared" si="0"/>
        <v>31</v>
      </c>
      <c r="AL24" s="5">
        <f t="shared" si="1"/>
        <v>0</v>
      </c>
      <c r="AM24" s="5">
        <f t="shared" si="2"/>
        <v>0</v>
      </c>
      <c r="AN24" s="5">
        <f t="shared" si="3"/>
        <v>0</v>
      </c>
      <c r="AO24" s="5">
        <f t="shared" si="4"/>
        <v>0</v>
      </c>
      <c r="AP24" s="5">
        <f t="shared" si="5"/>
        <v>0</v>
      </c>
    </row>
    <row r="25" spans="6:42" ht="15.75" customHeight="1" x14ac:dyDescent="0.35"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f t="shared" si="0"/>
        <v>31</v>
      </c>
      <c r="AL25" s="5">
        <f t="shared" si="1"/>
        <v>0</v>
      </c>
      <c r="AM25" s="5">
        <f t="shared" si="2"/>
        <v>0</v>
      </c>
      <c r="AN25" s="5">
        <f t="shared" si="3"/>
        <v>0</v>
      </c>
      <c r="AO25" s="5">
        <f t="shared" si="4"/>
        <v>0</v>
      </c>
      <c r="AP25" s="5">
        <f t="shared" si="5"/>
        <v>0</v>
      </c>
    </row>
    <row r="26" spans="6:42" ht="15.75" customHeight="1" x14ac:dyDescent="0.35"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>
        <f t="shared" si="0"/>
        <v>31</v>
      </c>
      <c r="AL26" s="5">
        <f t="shared" si="1"/>
        <v>0</v>
      </c>
      <c r="AM26" s="5">
        <f t="shared" si="2"/>
        <v>0</v>
      </c>
      <c r="AN26" s="5">
        <f t="shared" si="3"/>
        <v>0</v>
      </c>
      <c r="AO26" s="5">
        <f t="shared" si="4"/>
        <v>0</v>
      </c>
      <c r="AP26" s="5">
        <f t="shared" si="5"/>
        <v>0</v>
      </c>
    </row>
    <row r="27" spans="6:42" ht="15.75" customHeight="1" x14ac:dyDescent="0.35"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>
        <f t="shared" si="0"/>
        <v>31</v>
      </c>
      <c r="AL27" s="5">
        <f t="shared" si="1"/>
        <v>0</v>
      </c>
      <c r="AM27" s="5">
        <f t="shared" si="2"/>
        <v>0</v>
      </c>
      <c r="AN27" s="5">
        <f t="shared" si="3"/>
        <v>0</v>
      </c>
      <c r="AO27" s="5">
        <f t="shared" si="4"/>
        <v>0</v>
      </c>
      <c r="AP27" s="5">
        <f t="shared" si="5"/>
        <v>0</v>
      </c>
    </row>
    <row r="28" spans="6:42" ht="15.75" customHeight="1" x14ac:dyDescent="0.35"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>
        <f t="shared" si="0"/>
        <v>31</v>
      </c>
      <c r="AL28" s="5">
        <f t="shared" si="1"/>
        <v>0</v>
      </c>
      <c r="AM28" s="5">
        <f t="shared" si="2"/>
        <v>0</v>
      </c>
      <c r="AN28" s="5">
        <f t="shared" si="3"/>
        <v>0</v>
      </c>
      <c r="AO28" s="5">
        <f t="shared" si="4"/>
        <v>0</v>
      </c>
      <c r="AP28" s="5">
        <f t="shared" si="5"/>
        <v>0</v>
      </c>
    </row>
    <row r="29" spans="6:42" ht="15.75" customHeight="1" x14ac:dyDescent="0.35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f t="shared" si="0"/>
        <v>31</v>
      </c>
      <c r="AL29" s="5">
        <f t="shared" si="1"/>
        <v>0</v>
      </c>
      <c r="AM29" s="5">
        <f t="shared" si="2"/>
        <v>0</v>
      </c>
      <c r="AN29" s="5">
        <f t="shared" si="3"/>
        <v>0</v>
      </c>
      <c r="AO29" s="5">
        <f t="shared" si="4"/>
        <v>0</v>
      </c>
      <c r="AP29" s="5">
        <f t="shared" si="5"/>
        <v>0</v>
      </c>
    </row>
    <row r="30" spans="6:42" ht="15.75" customHeight="1" x14ac:dyDescent="0.35"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>
        <f t="shared" si="0"/>
        <v>31</v>
      </c>
      <c r="AL30" s="5">
        <f t="shared" si="1"/>
        <v>0</v>
      </c>
      <c r="AM30" s="5">
        <f t="shared" si="2"/>
        <v>0</v>
      </c>
      <c r="AN30" s="5">
        <f t="shared" si="3"/>
        <v>0</v>
      </c>
      <c r="AO30" s="5">
        <f t="shared" si="4"/>
        <v>0</v>
      </c>
      <c r="AP30" s="5">
        <f t="shared" si="5"/>
        <v>0</v>
      </c>
    </row>
    <row r="31" spans="6:42" ht="15.75" customHeight="1" x14ac:dyDescent="0.35"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f t="shared" si="0"/>
        <v>31</v>
      </c>
      <c r="AL31" s="5">
        <f t="shared" si="1"/>
        <v>0</v>
      </c>
      <c r="AM31" s="5">
        <f t="shared" si="2"/>
        <v>0</v>
      </c>
      <c r="AN31" s="5">
        <f t="shared" si="3"/>
        <v>0</v>
      </c>
      <c r="AO31" s="5">
        <f t="shared" si="4"/>
        <v>0</v>
      </c>
      <c r="AP31" s="5">
        <f t="shared" si="5"/>
        <v>0</v>
      </c>
    </row>
    <row r="32" spans="6:42" ht="15.75" customHeight="1" x14ac:dyDescent="0.35"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>
        <f t="shared" si="0"/>
        <v>31</v>
      </c>
      <c r="AL32" s="5">
        <f t="shared" si="1"/>
        <v>0</v>
      </c>
      <c r="AM32" s="5">
        <f t="shared" si="2"/>
        <v>0</v>
      </c>
      <c r="AN32" s="5">
        <f t="shared" si="3"/>
        <v>0</v>
      </c>
      <c r="AO32" s="5">
        <f t="shared" si="4"/>
        <v>0</v>
      </c>
      <c r="AP32" s="5">
        <f t="shared" si="5"/>
        <v>0</v>
      </c>
    </row>
    <row r="33" spans="6:42" ht="15.75" customHeight="1" x14ac:dyDescent="0.35"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f t="shared" si="0"/>
        <v>31</v>
      </c>
      <c r="AL33" s="5">
        <f t="shared" si="1"/>
        <v>0</v>
      </c>
      <c r="AM33" s="5">
        <f t="shared" si="2"/>
        <v>0</v>
      </c>
      <c r="AN33" s="5">
        <f t="shared" si="3"/>
        <v>0</v>
      </c>
      <c r="AO33" s="5">
        <f t="shared" si="4"/>
        <v>0</v>
      </c>
      <c r="AP33" s="5">
        <f t="shared" si="5"/>
        <v>0</v>
      </c>
    </row>
    <row r="34" spans="6:42" ht="15.75" customHeight="1" x14ac:dyDescent="0.35"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f t="shared" si="0"/>
        <v>31</v>
      </c>
      <c r="AL34" s="5">
        <f t="shared" si="1"/>
        <v>0</v>
      </c>
      <c r="AM34" s="5">
        <f t="shared" si="2"/>
        <v>0</v>
      </c>
      <c r="AN34" s="5">
        <f t="shared" si="3"/>
        <v>0</v>
      </c>
      <c r="AO34" s="5">
        <f t="shared" si="4"/>
        <v>0</v>
      </c>
      <c r="AP34" s="5">
        <f t="shared" si="5"/>
        <v>0</v>
      </c>
    </row>
    <row r="35" spans="6:42" ht="15.75" customHeight="1" x14ac:dyDescent="0.35"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>
        <f t="shared" si="0"/>
        <v>31</v>
      </c>
      <c r="AL35" s="5">
        <f t="shared" si="1"/>
        <v>0</v>
      </c>
      <c r="AM35" s="5">
        <f t="shared" si="2"/>
        <v>0</v>
      </c>
      <c r="AN35" s="5">
        <f t="shared" si="3"/>
        <v>0</v>
      </c>
      <c r="AO35" s="5">
        <f t="shared" si="4"/>
        <v>0</v>
      </c>
      <c r="AP35" s="5">
        <f t="shared" si="5"/>
        <v>0</v>
      </c>
    </row>
    <row r="36" spans="6:42" ht="15.75" customHeight="1" x14ac:dyDescent="0.35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>
        <f t="shared" si="0"/>
        <v>31</v>
      </c>
      <c r="AL36" s="5">
        <f t="shared" si="1"/>
        <v>0</v>
      </c>
      <c r="AM36" s="5">
        <f t="shared" si="2"/>
        <v>0</v>
      </c>
      <c r="AN36" s="5">
        <f t="shared" si="3"/>
        <v>0</v>
      </c>
      <c r="AO36" s="5">
        <f t="shared" si="4"/>
        <v>0</v>
      </c>
      <c r="AP36" s="5">
        <f t="shared" si="5"/>
        <v>0</v>
      </c>
    </row>
    <row r="37" spans="6:42" ht="15.75" customHeight="1" x14ac:dyDescent="0.35"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f t="shared" si="0"/>
        <v>31</v>
      </c>
      <c r="AL37" s="5">
        <f t="shared" si="1"/>
        <v>0</v>
      </c>
      <c r="AM37" s="5">
        <f t="shared" si="2"/>
        <v>0</v>
      </c>
      <c r="AN37" s="5">
        <f t="shared" si="3"/>
        <v>0</v>
      </c>
      <c r="AO37" s="5">
        <f t="shared" si="4"/>
        <v>0</v>
      </c>
      <c r="AP37" s="5">
        <f t="shared" si="5"/>
        <v>0</v>
      </c>
    </row>
    <row r="38" spans="6:42" ht="15.75" customHeight="1" x14ac:dyDescent="0.35"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f t="shared" si="0"/>
        <v>31</v>
      </c>
      <c r="AL38" s="5">
        <f t="shared" si="1"/>
        <v>0</v>
      </c>
      <c r="AM38" s="5">
        <f t="shared" si="2"/>
        <v>0</v>
      </c>
      <c r="AN38" s="5">
        <f t="shared" si="3"/>
        <v>0</v>
      </c>
      <c r="AO38" s="5">
        <f t="shared" si="4"/>
        <v>0</v>
      </c>
      <c r="AP38" s="5">
        <f t="shared" si="5"/>
        <v>0</v>
      </c>
    </row>
    <row r="39" spans="6:42" ht="15.75" customHeight="1" x14ac:dyDescent="0.35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f t="shared" si="0"/>
        <v>31</v>
      </c>
      <c r="AL39" s="5">
        <f t="shared" si="1"/>
        <v>0</v>
      </c>
      <c r="AM39" s="5">
        <f t="shared" si="2"/>
        <v>0</v>
      </c>
      <c r="AN39" s="5">
        <f t="shared" si="3"/>
        <v>0</v>
      </c>
      <c r="AO39" s="5">
        <f t="shared" si="4"/>
        <v>0</v>
      </c>
      <c r="AP39" s="5">
        <f t="shared" si="5"/>
        <v>0</v>
      </c>
    </row>
    <row r="40" spans="6:42" ht="15.75" customHeight="1" x14ac:dyDescent="0.35"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f t="shared" si="0"/>
        <v>31</v>
      </c>
      <c r="AL40" s="5">
        <f t="shared" si="1"/>
        <v>0</v>
      </c>
      <c r="AM40" s="5">
        <f t="shared" si="2"/>
        <v>0</v>
      </c>
      <c r="AN40" s="5">
        <f t="shared" si="3"/>
        <v>0</v>
      </c>
      <c r="AO40" s="5">
        <f t="shared" si="4"/>
        <v>0</v>
      </c>
      <c r="AP40" s="5">
        <f t="shared" si="5"/>
        <v>0</v>
      </c>
    </row>
    <row r="41" spans="6:42" ht="15.75" customHeight="1" x14ac:dyDescent="0.35"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>
        <f t="shared" si="0"/>
        <v>31</v>
      </c>
      <c r="AL41" s="5">
        <f t="shared" si="1"/>
        <v>0</v>
      </c>
      <c r="AM41" s="5">
        <f t="shared" si="2"/>
        <v>0</v>
      </c>
      <c r="AN41" s="5">
        <f t="shared" si="3"/>
        <v>0</v>
      </c>
      <c r="AO41" s="5">
        <f t="shared" si="4"/>
        <v>0</v>
      </c>
      <c r="AP41" s="5">
        <f t="shared" si="5"/>
        <v>0</v>
      </c>
    </row>
    <row r="42" spans="6:42" ht="15.75" customHeight="1" x14ac:dyDescent="0.35"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f t="shared" si="0"/>
        <v>31</v>
      </c>
      <c r="AL42" s="5">
        <f t="shared" si="1"/>
        <v>0</v>
      </c>
      <c r="AM42" s="5">
        <f t="shared" si="2"/>
        <v>0</v>
      </c>
      <c r="AN42" s="5">
        <f t="shared" si="3"/>
        <v>0</v>
      </c>
      <c r="AO42" s="5">
        <f t="shared" si="4"/>
        <v>0</v>
      </c>
      <c r="AP42" s="5">
        <f t="shared" si="5"/>
        <v>0</v>
      </c>
    </row>
    <row r="43" spans="6:42" ht="15.75" customHeight="1" x14ac:dyDescent="0.35"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>
        <f t="shared" si="0"/>
        <v>31</v>
      </c>
      <c r="AL43" s="5">
        <f t="shared" si="1"/>
        <v>0</v>
      </c>
      <c r="AM43" s="5">
        <f t="shared" si="2"/>
        <v>0</v>
      </c>
      <c r="AN43" s="5">
        <f t="shared" si="3"/>
        <v>0</v>
      </c>
      <c r="AO43" s="5">
        <f t="shared" si="4"/>
        <v>0</v>
      </c>
      <c r="AP43" s="5">
        <f t="shared" si="5"/>
        <v>0</v>
      </c>
    </row>
    <row r="44" spans="6:42" ht="15.75" customHeight="1" x14ac:dyDescent="0.35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f t="shared" si="0"/>
        <v>31</v>
      </c>
      <c r="AL44" s="5">
        <f t="shared" si="1"/>
        <v>0</v>
      </c>
      <c r="AM44" s="5">
        <f t="shared" si="2"/>
        <v>0</v>
      </c>
      <c r="AN44" s="5">
        <f t="shared" si="3"/>
        <v>0</v>
      </c>
      <c r="AO44" s="5">
        <f t="shared" si="4"/>
        <v>0</v>
      </c>
      <c r="AP44" s="5">
        <f t="shared" si="5"/>
        <v>0</v>
      </c>
    </row>
    <row r="45" spans="6:42" ht="15.75" customHeight="1" x14ac:dyDescent="0.35"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f t="shared" si="0"/>
        <v>31</v>
      </c>
      <c r="AL45" s="5">
        <f t="shared" si="1"/>
        <v>0</v>
      </c>
      <c r="AM45" s="5">
        <f t="shared" si="2"/>
        <v>0</v>
      </c>
      <c r="AN45" s="5">
        <f t="shared" si="3"/>
        <v>0</v>
      </c>
      <c r="AO45" s="5">
        <f t="shared" si="4"/>
        <v>0</v>
      </c>
      <c r="AP45" s="5">
        <f t="shared" si="5"/>
        <v>0</v>
      </c>
    </row>
    <row r="46" spans="6:42" ht="15.75" customHeight="1" x14ac:dyDescent="0.35"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>
        <f t="shared" si="0"/>
        <v>31</v>
      </c>
      <c r="AL46" s="5">
        <f t="shared" si="1"/>
        <v>0</v>
      </c>
      <c r="AM46" s="5">
        <f t="shared" si="2"/>
        <v>0</v>
      </c>
      <c r="AN46" s="5">
        <f t="shared" si="3"/>
        <v>0</v>
      </c>
      <c r="AO46" s="5">
        <f t="shared" si="4"/>
        <v>0</v>
      </c>
      <c r="AP46" s="5">
        <f t="shared" si="5"/>
        <v>0</v>
      </c>
    </row>
    <row r="47" spans="6:42" ht="15.75" customHeight="1" x14ac:dyDescent="0.35"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f t="shared" si="0"/>
        <v>31</v>
      </c>
      <c r="AL47" s="5">
        <f t="shared" si="1"/>
        <v>0</v>
      </c>
      <c r="AM47" s="5">
        <f t="shared" si="2"/>
        <v>0</v>
      </c>
      <c r="AN47" s="5">
        <f t="shared" si="3"/>
        <v>0</v>
      </c>
      <c r="AO47" s="5">
        <f t="shared" si="4"/>
        <v>0</v>
      </c>
      <c r="AP47" s="5">
        <f t="shared" si="5"/>
        <v>0</v>
      </c>
    </row>
    <row r="48" spans="6:42" ht="15.75" customHeight="1" x14ac:dyDescent="0.35"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f t="shared" si="0"/>
        <v>31</v>
      </c>
      <c r="AL48" s="5">
        <f t="shared" si="1"/>
        <v>0</v>
      </c>
      <c r="AM48" s="5">
        <f t="shared" si="2"/>
        <v>0</v>
      </c>
      <c r="AN48" s="5">
        <f t="shared" si="3"/>
        <v>0</v>
      </c>
      <c r="AO48" s="5">
        <f t="shared" si="4"/>
        <v>0</v>
      </c>
      <c r="AP48" s="5">
        <f t="shared" si="5"/>
        <v>0</v>
      </c>
    </row>
    <row r="49" spans="6:42" ht="15.75" customHeight="1" x14ac:dyDescent="0.35"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>
        <f t="shared" si="0"/>
        <v>31</v>
      </c>
      <c r="AL49" s="5">
        <f t="shared" si="1"/>
        <v>0</v>
      </c>
      <c r="AM49" s="5">
        <f t="shared" si="2"/>
        <v>0</v>
      </c>
      <c r="AN49" s="5">
        <f t="shared" si="3"/>
        <v>0</v>
      </c>
      <c r="AO49" s="5">
        <f t="shared" si="4"/>
        <v>0</v>
      </c>
      <c r="AP49" s="5">
        <f t="shared" si="5"/>
        <v>0</v>
      </c>
    </row>
    <row r="50" spans="6:42" ht="15.75" customHeight="1" x14ac:dyDescent="0.35"/>
    <row r="51" spans="6:42" ht="15.75" customHeight="1" x14ac:dyDescent="0.35"/>
    <row r="52" spans="6:42" ht="15.75" customHeight="1" x14ac:dyDescent="0.35"/>
    <row r="53" spans="6:42" ht="15.75" customHeight="1" x14ac:dyDescent="0.35"/>
    <row r="54" spans="6:42" ht="15.75" customHeight="1" x14ac:dyDescent="0.35"/>
    <row r="55" spans="6:42" ht="15.75" customHeight="1" x14ac:dyDescent="0.35"/>
    <row r="56" spans="6:42" ht="15.75" customHeight="1" x14ac:dyDescent="0.35"/>
    <row r="57" spans="6:42" ht="15.75" customHeight="1" x14ac:dyDescent="0.35"/>
    <row r="58" spans="6:42" ht="15.75" customHeight="1" x14ac:dyDescent="0.35"/>
    <row r="59" spans="6:42" ht="15.75" customHeight="1" x14ac:dyDescent="0.35"/>
    <row r="60" spans="6:42" ht="15.75" customHeight="1" x14ac:dyDescent="0.35"/>
    <row r="61" spans="6:42" ht="15.75" customHeight="1" x14ac:dyDescent="0.35"/>
    <row r="62" spans="6:42" ht="15.75" customHeight="1" x14ac:dyDescent="0.35"/>
    <row r="63" spans="6:42" ht="15.75" customHeight="1" x14ac:dyDescent="0.35"/>
    <row r="64" spans="6:42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1">
    <dataValidation type="list" allowBlank="1" sqref="F2:AJ49" xr:uid="{00000000-0002-0000-0600-000000000000}">
      <formula1>"P,A,H,CL,SL"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1000"/>
  <sheetViews>
    <sheetView workbookViewId="0"/>
  </sheetViews>
  <sheetFormatPr defaultColWidth="14.453125" defaultRowHeight="15" customHeight="1" x14ac:dyDescent="0.35"/>
  <cols>
    <col min="1" max="42" width="8.7265625" customWidth="1"/>
  </cols>
  <sheetData>
    <row r="1" spans="1:4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5" x14ac:dyDescent="0.35"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f t="shared" ref="AK2:AK49" si="0">COUNTIF(F2:AJ2,"&lt;&gt;H")</f>
        <v>31</v>
      </c>
      <c r="AL2" s="5">
        <f t="shared" ref="AL2:AL49" si="1">COUNTIF(F2:AJ2,"P")</f>
        <v>0</v>
      </c>
      <c r="AM2" s="5">
        <f t="shared" ref="AM2:AM49" si="2">COUNTIF(F2:AJ2,"CL")</f>
        <v>0</v>
      </c>
      <c r="AN2" s="5">
        <f t="shared" ref="AN2:AN49" si="3">COUNTIF(F2:AJ2,"SL")</f>
        <v>0</v>
      </c>
      <c r="AO2" s="5">
        <f t="shared" ref="AO2:AO49" si="4">COUNTIF(F2:AJ2,"A")</f>
        <v>0</v>
      </c>
      <c r="AP2" s="5">
        <f t="shared" ref="AP2:AP49" si="5">(D2/AK2)*AL2</f>
        <v>0</v>
      </c>
    </row>
    <row r="3" spans="1:42" ht="14.5" x14ac:dyDescent="0.35"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f t="shared" si="0"/>
        <v>31</v>
      </c>
      <c r="AL3" s="5">
        <f t="shared" si="1"/>
        <v>0</v>
      </c>
      <c r="AM3" s="5">
        <f t="shared" si="2"/>
        <v>0</v>
      </c>
      <c r="AN3" s="5">
        <f t="shared" si="3"/>
        <v>0</v>
      </c>
      <c r="AO3" s="5">
        <f t="shared" si="4"/>
        <v>0</v>
      </c>
      <c r="AP3" s="5">
        <f t="shared" si="5"/>
        <v>0</v>
      </c>
    </row>
    <row r="4" spans="1:42" ht="14.5" x14ac:dyDescent="0.35"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f t="shared" si="0"/>
        <v>31</v>
      </c>
      <c r="AL4" s="5">
        <f t="shared" si="1"/>
        <v>0</v>
      </c>
      <c r="AM4" s="5">
        <f t="shared" si="2"/>
        <v>0</v>
      </c>
      <c r="AN4" s="5">
        <f t="shared" si="3"/>
        <v>0</v>
      </c>
      <c r="AO4" s="5">
        <f t="shared" si="4"/>
        <v>0</v>
      </c>
      <c r="AP4" s="5">
        <f t="shared" si="5"/>
        <v>0</v>
      </c>
    </row>
    <row r="5" spans="1:42" ht="14.5" x14ac:dyDescent="0.35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f t="shared" si="0"/>
        <v>31</v>
      </c>
      <c r="AL5" s="5">
        <f t="shared" si="1"/>
        <v>0</v>
      </c>
      <c r="AM5" s="5">
        <f t="shared" si="2"/>
        <v>0</v>
      </c>
      <c r="AN5" s="5">
        <f t="shared" si="3"/>
        <v>0</v>
      </c>
      <c r="AO5" s="5">
        <f t="shared" si="4"/>
        <v>0</v>
      </c>
      <c r="AP5" s="5">
        <f t="shared" si="5"/>
        <v>0</v>
      </c>
    </row>
    <row r="6" spans="1:42" ht="14.5" x14ac:dyDescent="0.35"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f t="shared" si="0"/>
        <v>31</v>
      </c>
      <c r="AL6" s="5">
        <f t="shared" si="1"/>
        <v>0</v>
      </c>
      <c r="AM6" s="5">
        <f t="shared" si="2"/>
        <v>0</v>
      </c>
      <c r="AN6" s="5">
        <f t="shared" si="3"/>
        <v>0</v>
      </c>
      <c r="AO6" s="5">
        <f t="shared" si="4"/>
        <v>0</v>
      </c>
      <c r="AP6" s="5">
        <f t="shared" si="5"/>
        <v>0</v>
      </c>
    </row>
    <row r="7" spans="1:42" ht="14.5" x14ac:dyDescent="0.35"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f t="shared" si="0"/>
        <v>31</v>
      </c>
      <c r="AL7" s="5">
        <f t="shared" si="1"/>
        <v>0</v>
      </c>
      <c r="AM7" s="5">
        <f t="shared" si="2"/>
        <v>0</v>
      </c>
      <c r="AN7" s="5">
        <f t="shared" si="3"/>
        <v>0</v>
      </c>
      <c r="AO7" s="5">
        <f t="shared" si="4"/>
        <v>0</v>
      </c>
      <c r="AP7" s="5">
        <f t="shared" si="5"/>
        <v>0</v>
      </c>
    </row>
    <row r="8" spans="1:42" ht="14.5" x14ac:dyDescent="0.35"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f t="shared" si="0"/>
        <v>31</v>
      </c>
      <c r="AL8" s="5">
        <f t="shared" si="1"/>
        <v>0</v>
      </c>
      <c r="AM8" s="5">
        <f t="shared" si="2"/>
        <v>0</v>
      </c>
      <c r="AN8" s="5">
        <f t="shared" si="3"/>
        <v>0</v>
      </c>
      <c r="AO8" s="5">
        <f t="shared" si="4"/>
        <v>0</v>
      </c>
      <c r="AP8" s="5">
        <f t="shared" si="5"/>
        <v>0</v>
      </c>
    </row>
    <row r="9" spans="1:42" ht="14.5" x14ac:dyDescent="0.35"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f t="shared" si="0"/>
        <v>31</v>
      </c>
      <c r="AL9" s="5">
        <f t="shared" si="1"/>
        <v>0</v>
      </c>
      <c r="AM9" s="5">
        <f t="shared" si="2"/>
        <v>0</v>
      </c>
      <c r="AN9" s="5">
        <f t="shared" si="3"/>
        <v>0</v>
      </c>
      <c r="AO9" s="5">
        <f t="shared" si="4"/>
        <v>0</v>
      </c>
      <c r="AP9" s="5">
        <f t="shared" si="5"/>
        <v>0</v>
      </c>
    </row>
    <row r="10" spans="1:42" ht="14.5" x14ac:dyDescent="0.35"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f t="shared" si="0"/>
        <v>31</v>
      </c>
      <c r="AL10" s="5">
        <f t="shared" si="1"/>
        <v>0</v>
      </c>
      <c r="AM10" s="5">
        <f t="shared" si="2"/>
        <v>0</v>
      </c>
      <c r="AN10" s="5">
        <f t="shared" si="3"/>
        <v>0</v>
      </c>
      <c r="AO10" s="5">
        <f t="shared" si="4"/>
        <v>0</v>
      </c>
      <c r="AP10" s="5">
        <f t="shared" si="5"/>
        <v>0</v>
      </c>
    </row>
    <row r="11" spans="1:42" ht="14.5" x14ac:dyDescent="0.35"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f t="shared" si="0"/>
        <v>31</v>
      </c>
      <c r="AL11" s="5">
        <f t="shared" si="1"/>
        <v>0</v>
      </c>
      <c r="AM11" s="5">
        <f t="shared" si="2"/>
        <v>0</v>
      </c>
      <c r="AN11" s="5">
        <f t="shared" si="3"/>
        <v>0</v>
      </c>
      <c r="AO11" s="5">
        <f t="shared" si="4"/>
        <v>0</v>
      </c>
      <c r="AP11" s="5">
        <f t="shared" si="5"/>
        <v>0</v>
      </c>
    </row>
    <row r="12" spans="1:42" ht="14.5" x14ac:dyDescent="0.35"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f t="shared" si="0"/>
        <v>31</v>
      </c>
      <c r="AL12" s="5">
        <f t="shared" si="1"/>
        <v>0</v>
      </c>
      <c r="AM12" s="5">
        <f t="shared" si="2"/>
        <v>0</v>
      </c>
      <c r="AN12" s="5">
        <f t="shared" si="3"/>
        <v>0</v>
      </c>
      <c r="AO12" s="5">
        <f t="shared" si="4"/>
        <v>0</v>
      </c>
      <c r="AP12" s="5">
        <f t="shared" si="5"/>
        <v>0</v>
      </c>
    </row>
    <row r="13" spans="1:42" ht="14.5" x14ac:dyDescent="0.35"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f t="shared" si="0"/>
        <v>31</v>
      </c>
      <c r="AL13" s="5">
        <f t="shared" si="1"/>
        <v>0</v>
      </c>
      <c r="AM13" s="5">
        <f t="shared" si="2"/>
        <v>0</v>
      </c>
      <c r="AN13" s="5">
        <f t="shared" si="3"/>
        <v>0</v>
      </c>
      <c r="AO13" s="5">
        <f t="shared" si="4"/>
        <v>0</v>
      </c>
      <c r="AP13" s="5">
        <f t="shared" si="5"/>
        <v>0</v>
      </c>
    </row>
    <row r="14" spans="1:42" ht="14.5" x14ac:dyDescent="0.35"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f t="shared" si="0"/>
        <v>31</v>
      </c>
      <c r="AL14" s="5">
        <f t="shared" si="1"/>
        <v>0</v>
      </c>
      <c r="AM14" s="5">
        <f t="shared" si="2"/>
        <v>0</v>
      </c>
      <c r="AN14" s="5">
        <f t="shared" si="3"/>
        <v>0</v>
      </c>
      <c r="AO14" s="5">
        <f t="shared" si="4"/>
        <v>0</v>
      </c>
      <c r="AP14" s="5">
        <f t="shared" si="5"/>
        <v>0</v>
      </c>
    </row>
    <row r="15" spans="1:42" ht="14.5" x14ac:dyDescent="0.35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f t="shared" si="0"/>
        <v>31</v>
      </c>
      <c r="AL15" s="5">
        <f t="shared" si="1"/>
        <v>0</v>
      </c>
      <c r="AM15" s="5">
        <f t="shared" si="2"/>
        <v>0</v>
      </c>
      <c r="AN15" s="5">
        <f t="shared" si="3"/>
        <v>0</v>
      </c>
      <c r="AO15" s="5">
        <f t="shared" si="4"/>
        <v>0</v>
      </c>
      <c r="AP15" s="5">
        <f t="shared" si="5"/>
        <v>0</v>
      </c>
    </row>
    <row r="16" spans="1:42" ht="14.5" x14ac:dyDescent="0.3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f t="shared" si="0"/>
        <v>31</v>
      </c>
      <c r="AL16" s="5">
        <f t="shared" si="1"/>
        <v>0</v>
      </c>
      <c r="AM16" s="5">
        <f t="shared" si="2"/>
        <v>0</v>
      </c>
      <c r="AN16" s="5">
        <f t="shared" si="3"/>
        <v>0</v>
      </c>
      <c r="AO16" s="5">
        <f t="shared" si="4"/>
        <v>0</v>
      </c>
      <c r="AP16" s="5">
        <f t="shared" si="5"/>
        <v>0</v>
      </c>
    </row>
    <row r="17" spans="6:42" ht="14.5" x14ac:dyDescent="0.3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f t="shared" si="0"/>
        <v>31</v>
      </c>
      <c r="AL17" s="5">
        <f t="shared" si="1"/>
        <v>0</v>
      </c>
      <c r="AM17" s="5">
        <f t="shared" si="2"/>
        <v>0</v>
      </c>
      <c r="AN17" s="5">
        <f t="shared" si="3"/>
        <v>0</v>
      </c>
      <c r="AO17" s="5">
        <f t="shared" si="4"/>
        <v>0</v>
      </c>
      <c r="AP17" s="5">
        <f t="shared" si="5"/>
        <v>0</v>
      </c>
    </row>
    <row r="18" spans="6:42" ht="14.5" x14ac:dyDescent="0.3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f t="shared" si="0"/>
        <v>31</v>
      </c>
      <c r="AL18" s="5">
        <f t="shared" si="1"/>
        <v>0</v>
      </c>
      <c r="AM18" s="5">
        <f t="shared" si="2"/>
        <v>0</v>
      </c>
      <c r="AN18" s="5">
        <f t="shared" si="3"/>
        <v>0</v>
      </c>
      <c r="AO18" s="5">
        <f t="shared" si="4"/>
        <v>0</v>
      </c>
      <c r="AP18" s="5">
        <f t="shared" si="5"/>
        <v>0</v>
      </c>
    </row>
    <row r="19" spans="6:42" ht="14.5" x14ac:dyDescent="0.35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f t="shared" si="0"/>
        <v>31</v>
      </c>
      <c r="AL19" s="5">
        <f t="shared" si="1"/>
        <v>0</v>
      </c>
      <c r="AM19" s="5">
        <f t="shared" si="2"/>
        <v>0</v>
      </c>
      <c r="AN19" s="5">
        <f t="shared" si="3"/>
        <v>0</v>
      </c>
      <c r="AO19" s="5">
        <f t="shared" si="4"/>
        <v>0</v>
      </c>
      <c r="AP19" s="5">
        <f t="shared" si="5"/>
        <v>0</v>
      </c>
    </row>
    <row r="20" spans="6:42" ht="14.5" x14ac:dyDescent="0.3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f t="shared" si="0"/>
        <v>31</v>
      </c>
      <c r="AL20" s="5">
        <f t="shared" si="1"/>
        <v>0</v>
      </c>
      <c r="AM20" s="5">
        <f t="shared" si="2"/>
        <v>0</v>
      </c>
      <c r="AN20" s="5">
        <f t="shared" si="3"/>
        <v>0</v>
      </c>
      <c r="AO20" s="5">
        <f t="shared" si="4"/>
        <v>0</v>
      </c>
      <c r="AP20" s="5">
        <f t="shared" si="5"/>
        <v>0</v>
      </c>
    </row>
    <row r="21" spans="6:42" ht="15.75" customHeight="1" x14ac:dyDescent="0.35"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f t="shared" si="0"/>
        <v>31</v>
      </c>
      <c r="AL21" s="5">
        <f t="shared" si="1"/>
        <v>0</v>
      </c>
      <c r="AM21" s="5">
        <f t="shared" si="2"/>
        <v>0</v>
      </c>
      <c r="AN21" s="5">
        <f t="shared" si="3"/>
        <v>0</v>
      </c>
      <c r="AO21" s="5">
        <f t="shared" si="4"/>
        <v>0</v>
      </c>
      <c r="AP21" s="5">
        <f t="shared" si="5"/>
        <v>0</v>
      </c>
    </row>
    <row r="22" spans="6:42" ht="15.75" customHeight="1" x14ac:dyDescent="0.35"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f t="shared" si="0"/>
        <v>31</v>
      </c>
      <c r="AL22" s="5">
        <f t="shared" si="1"/>
        <v>0</v>
      </c>
      <c r="AM22" s="5">
        <f t="shared" si="2"/>
        <v>0</v>
      </c>
      <c r="AN22" s="5">
        <f t="shared" si="3"/>
        <v>0</v>
      </c>
      <c r="AO22" s="5">
        <f t="shared" si="4"/>
        <v>0</v>
      </c>
      <c r="AP22" s="5">
        <f t="shared" si="5"/>
        <v>0</v>
      </c>
    </row>
    <row r="23" spans="6:42" ht="15.75" customHeight="1" x14ac:dyDescent="0.35"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f t="shared" si="0"/>
        <v>31</v>
      </c>
      <c r="AL23" s="5">
        <f t="shared" si="1"/>
        <v>0</v>
      </c>
      <c r="AM23" s="5">
        <f t="shared" si="2"/>
        <v>0</v>
      </c>
      <c r="AN23" s="5">
        <f t="shared" si="3"/>
        <v>0</v>
      </c>
      <c r="AO23" s="5">
        <f t="shared" si="4"/>
        <v>0</v>
      </c>
      <c r="AP23" s="5">
        <f t="shared" si="5"/>
        <v>0</v>
      </c>
    </row>
    <row r="24" spans="6:42" ht="15.75" customHeight="1" x14ac:dyDescent="0.35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f t="shared" si="0"/>
        <v>31</v>
      </c>
      <c r="AL24" s="5">
        <f t="shared" si="1"/>
        <v>0</v>
      </c>
      <c r="AM24" s="5">
        <f t="shared" si="2"/>
        <v>0</v>
      </c>
      <c r="AN24" s="5">
        <f t="shared" si="3"/>
        <v>0</v>
      </c>
      <c r="AO24" s="5">
        <f t="shared" si="4"/>
        <v>0</v>
      </c>
      <c r="AP24" s="5">
        <f t="shared" si="5"/>
        <v>0</v>
      </c>
    </row>
    <row r="25" spans="6:42" ht="15.75" customHeight="1" x14ac:dyDescent="0.35"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f t="shared" si="0"/>
        <v>31</v>
      </c>
      <c r="AL25" s="5">
        <f t="shared" si="1"/>
        <v>0</v>
      </c>
      <c r="AM25" s="5">
        <f t="shared" si="2"/>
        <v>0</v>
      </c>
      <c r="AN25" s="5">
        <f t="shared" si="3"/>
        <v>0</v>
      </c>
      <c r="AO25" s="5">
        <f t="shared" si="4"/>
        <v>0</v>
      </c>
      <c r="AP25" s="5">
        <f t="shared" si="5"/>
        <v>0</v>
      </c>
    </row>
    <row r="26" spans="6:42" ht="15.75" customHeight="1" x14ac:dyDescent="0.35"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>
        <f t="shared" si="0"/>
        <v>31</v>
      </c>
      <c r="AL26" s="5">
        <f t="shared" si="1"/>
        <v>0</v>
      </c>
      <c r="AM26" s="5">
        <f t="shared" si="2"/>
        <v>0</v>
      </c>
      <c r="AN26" s="5">
        <f t="shared" si="3"/>
        <v>0</v>
      </c>
      <c r="AO26" s="5">
        <f t="shared" si="4"/>
        <v>0</v>
      </c>
      <c r="AP26" s="5">
        <f t="shared" si="5"/>
        <v>0</v>
      </c>
    </row>
    <row r="27" spans="6:42" ht="15.75" customHeight="1" x14ac:dyDescent="0.35"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>
        <f t="shared" si="0"/>
        <v>31</v>
      </c>
      <c r="AL27" s="5">
        <f t="shared" si="1"/>
        <v>0</v>
      </c>
      <c r="AM27" s="5">
        <f t="shared" si="2"/>
        <v>0</v>
      </c>
      <c r="AN27" s="5">
        <f t="shared" si="3"/>
        <v>0</v>
      </c>
      <c r="AO27" s="5">
        <f t="shared" si="4"/>
        <v>0</v>
      </c>
      <c r="AP27" s="5">
        <f t="shared" si="5"/>
        <v>0</v>
      </c>
    </row>
    <row r="28" spans="6:42" ht="15.75" customHeight="1" x14ac:dyDescent="0.35"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>
        <f t="shared" si="0"/>
        <v>31</v>
      </c>
      <c r="AL28" s="5">
        <f t="shared" si="1"/>
        <v>0</v>
      </c>
      <c r="AM28" s="5">
        <f t="shared" si="2"/>
        <v>0</v>
      </c>
      <c r="AN28" s="5">
        <f t="shared" si="3"/>
        <v>0</v>
      </c>
      <c r="AO28" s="5">
        <f t="shared" si="4"/>
        <v>0</v>
      </c>
      <c r="AP28" s="5">
        <f t="shared" si="5"/>
        <v>0</v>
      </c>
    </row>
    <row r="29" spans="6:42" ht="15.75" customHeight="1" x14ac:dyDescent="0.35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f t="shared" si="0"/>
        <v>31</v>
      </c>
      <c r="AL29" s="5">
        <f t="shared" si="1"/>
        <v>0</v>
      </c>
      <c r="AM29" s="5">
        <f t="shared" si="2"/>
        <v>0</v>
      </c>
      <c r="AN29" s="5">
        <f t="shared" si="3"/>
        <v>0</v>
      </c>
      <c r="AO29" s="5">
        <f t="shared" si="4"/>
        <v>0</v>
      </c>
      <c r="AP29" s="5">
        <f t="shared" si="5"/>
        <v>0</v>
      </c>
    </row>
    <row r="30" spans="6:42" ht="15.75" customHeight="1" x14ac:dyDescent="0.35"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>
        <f t="shared" si="0"/>
        <v>31</v>
      </c>
      <c r="AL30" s="5">
        <f t="shared" si="1"/>
        <v>0</v>
      </c>
      <c r="AM30" s="5">
        <f t="shared" si="2"/>
        <v>0</v>
      </c>
      <c r="AN30" s="5">
        <f t="shared" si="3"/>
        <v>0</v>
      </c>
      <c r="AO30" s="5">
        <f t="shared" si="4"/>
        <v>0</v>
      </c>
      <c r="AP30" s="5">
        <f t="shared" si="5"/>
        <v>0</v>
      </c>
    </row>
    <row r="31" spans="6:42" ht="15.75" customHeight="1" x14ac:dyDescent="0.35"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f t="shared" si="0"/>
        <v>31</v>
      </c>
      <c r="AL31" s="5">
        <f t="shared" si="1"/>
        <v>0</v>
      </c>
      <c r="AM31" s="5">
        <f t="shared" si="2"/>
        <v>0</v>
      </c>
      <c r="AN31" s="5">
        <f t="shared" si="3"/>
        <v>0</v>
      </c>
      <c r="AO31" s="5">
        <f t="shared" si="4"/>
        <v>0</v>
      </c>
      <c r="AP31" s="5">
        <f t="shared" si="5"/>
        <v>0</v>
      </c>
    </row>
    <row r="32" spans="6:42" ht="15.75" customHeight="1" x14ac:dyDescent="0.35"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>
        <f t="shared" si="0"/>
        <v>31</v>
      </c>
      <c r="AL32" s="5">
        <f t="shared" si="1"/>
        <v>0</v>
      </c>
      <c r="AM32" s="5">
        <f t="shared" si="2"/>
        <v>0</v>
      </c>
      <c r="AN32" s="5">
        <f t="shared" si="3"/>
        <v>0</v>
      </c>
      <c r="AO32" s="5">
        <f t="shared" si="4"/>
        <v>0</v>
      </c>
      <c r="AP32" s="5">
        <f t="shared" si="5"/>
        <v>0</v>
      </c>
    </row>
    <row r="33" spans="6:42" ht="15.75" customHeight="1" x14ac:dyDescent="0.35"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f t="shared" si="0"/>
        <v>31</v>
      </c>
      <c r="AL33" s="5">
        <f t="shared" si="1"/>
        <v>0</v>
      </c>
      <c r="AM33" s="5">
        <f t="shared" si="2"/>
        <v>0</v>
      </c>
      <c r="AN33" s="5">
        <f t="shared" si="3"/>
        <v>0</v>
      </c>
      <c r="AO33" s="5">
        <f t="shared" si="4"/>
        <v>0</v>
      </c>
      <c r="AP33" s="5">
        <f t="shared" si="5"/>
        <v>0</v>
      </c>
    </row>
    <row r="34" spans="6:42" ht="15.75" customHeight="1" x14ac:dyDescent="0.35"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f t="shared" si="0"/>
        <v>31</v>
      </c>
      <c r="AL34" s="5">
        <f t="shared" si="1"/>
        <v>0</v>
      </c>
      <c r="AM34" s="5">
        <f t="shared" si="2"/>
        <v>0</v>
      </c>
      <c r="AN34" s="5">
        <f t="shared" si="3"/>
        <v>0</v>
      </c>
      <c r="AO34" s="5">
        <f t="shared" si="4"/>
        <v>0</v>
      </c>
      <c r="AP34" s="5">
        <f t="shared" si="5"/>
        <v>0</v>
      </c>
    </row>
    <row r="35" spans="6:42" ht="15.75" customHeight="1" x14ac:dyDescent="0.35"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>
        <f t="shared" si="0"/>
        <v>31</v>
      </c>
      <c r="AL35" s="5">
        <f t="shared" si="1"/>
        <v>0</v>
      </c>
      <c r="AM35" s="5">
        <f t="shared" si="2"/>
        <v>0</v>
      </c>
      <c r="AN35" s="5">
        <f t="shared" si="3"/>
        <v>0</v>
      </c>
      <c r="AO35" s="5">
        <f t="shared" si="4"/>
        <v>0</v>
      </c>
      <c r="AP35" s="5">
        <f t="shared" si="5"/>
        <v>0</v>
      </c>
    </row>
    <row r="36" spans="6:42" ht="15.75" customHeight="1" x14ac:dyDescent="0.35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>
        <f t="shared" si="0"/>
        <v>31</v>
      </c>
      <c r="AL36" s="5">
        <f t="shared" si="1"/>
        <v>0</v>
      </c>
      <c r="AM36" s="5">
        <f t="shared" si="2"/>
        <v>0</v>
      </c>
      <c r="AN36" s="5">
        <f t="shared" si="3"/>
        <v>0</v>
      </c>
      <c r="AO36" s="5">
        <f t="shared" si="4"/>
        <v>0</v>
      </c>
      <c r="AP36" s="5">
        <f t="shared" si="5"/>
        <v>0</v>
      </c>
    </row>
    <row r="37" spans="6:42" ht="15.75" customHeight="1" x14ac:dyDescent="0.35"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f t="shared" si="0"/>
        <v>31</v>
      </c>
      <c r="AL37" s="5">
        <f t="shared" si="1"/>
        <v>0</v>
      </c>
      <c r="AM37" s="5">
        <f t="shared" si="2"/>
        <v>0</v>
      </c>
      <c r="AN37" s="5">
        <f t="shared" si="3"/>
        <v>0</v>
      </c>
      <c r="AO37" s="5">
        <f t="shared" si="4"/>
        <v>0</v>
      </c>
      <c r="AP37" s="5">
        <f t="shared" si="5"/>
        <v>0</v>
      </c>
    </row>
    <row r="38" spans="6:42" ht="15.75" customHeight="1" x14ac:dyDescent="0.35"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f t="shared" si="0"/>
        <v>31</v>
      </c>
      <c r="AL38" s="5">
        <f t="shared" si="1"/>
        <v>0</v>
      </c>
      <c r="AM38" s="5">
        <f t="shared" si="2"/>
        <v>0</v>
      </c>
      <c r="AN38" s="5">
        <f t="shared" si="3"/>
        <v>0</v>
      </c>
      <c r="AO38" s="5">
        <f t="shared" si="4"/>
        <v>0</v>
      </c>
      <c r="AP38" s="5">
        <f t="shared" si="5"/>
        <v>0</v>
      </c>
    </row>
    <row r="39" spans="6:42" ht="15.75" customHeight="1" x14ac:dyDescent="0.35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f t="shared" si="0"/>
        <v>31</v>
      </c>
      <c r="AL39" s="5">
        <f t="shared" si="1"/>
        <v>0</v>
      </c>
      <c r="AM39" s="5">
        <f t="shared" si="2"/>
        <v>0</v>
      </c>
      <c r="AN39" s="5">
        <f t="shared" si="3"/>
        <v>0</v>
      </c>
      <c r="AO39" s="5">
        <f t="shared" si="4"/>
        <v>0</v>
      </c>
      <c r="AP39" s="5">
        <f t="shared" si="5"/>
        <v>0</v>
      </c>
    </row>
    <row r="40" spans="6:42" ht="15.75" customHeight="1" x14ac:dyDescent="0.35"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f t="shared" si="0"/>
        <v>31</v>
      </c>
      <c r="AL40" s="5">
        <f t="shared" si="1"/>
        <v>0</v>
      </c>
      <c r="AM40" s="5">
        <f t="shared" si="2"/>
        <v>0</v>
      </c>
      <c r="AN40" s="5">
        <f t="shared" si="3"/>
        <v>0</v>
      </c>
      <c r="AO40" s="5">
        <f t="shared" si="4"/>
        <v>0</v>
      </c>
      <c r="AP40" s="5">
        <f t="shared" si="5"/>
        <v>0</v>
      </c>
    </row>
    <row r="41" spans="6:42" ht="15.75" customHeight="1" x14ac:dyDescent="0.35"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>
        <f t="shared" si="0"/>
        <v>31</v>
      </c>
      <c r="AL41" s="5">
        <f t="shared" si="1"/>
        <v>0</v>
      </c>
      <c r="AM41" s="5">
        <f t="shared" si="2"/>
        <v>0</v>
      </c>
      <c r="AN41" s="5">
        <f t="shared" si="3"/>
        <v>0</v>
      </c>
      <c r="AO41" s="5">
        <f t="shared" si="4"/>
        <v>0</v>
      </c>
      <c r="AP41" s="5">
        <f t="shared" si="5"/>
        <v>0</v>
      </c>
    </row>
    <row r="42" spans="6:42" ht="15.75" customHeight="1" x14ac:dyDescent="0.35"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f t="shared" si="0"/>
        <v>31</v>
      </c>
      <c r="AL42" s="5">
        <f t="shared" si="1"/>
        <v>0</v>
      </c>
      <c r="AM42" s="5">
        <f t="shared" si="2"/>
        <v>0</v>
      </c>
      <c r="AN42" s="5">
        <f t="shared" si="3"/>
        <v>0</v>
      </c>
      <c r="AO42" s="5">
        <f t="shared" si="4"/>
        <v>0</v>
      </c>
      <c r="AP42" s="5">
        <f t="shared" si="5"/>
        <v>0</v>
      </c>
    </row>
    <row r="43" spans="6:42" ht="15.75" customHeight="1" x14ac:dyDescent="0.35"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>
        <f t="shared" si="0"/>
        <v>31</v>
      </c>
      <c r="AL43" s="5">
        <f t="shared" si="1"/>
        <v>0</v>
      </c>
      <c r="AM43" s="5">
        <f t="shared" si="2"/>
        <v>0</v>
      </c>
      <c r="AN43" s="5">
        <f t="shared" si="3"/>
        <v>0</v>
      </c>
      <c r="AO43" s="5">
        <f t="shared" si="4"/>
        <v>0</v>
      </c>
      <c r="AP43" s="5">
        <f t="shared" si="5"/>
        <v>0</v>
      </c>
    </row>
    <row r="44" spans="6:42" ht="15.75" customHeight="1" x14ac:dyDescent="0.35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f t="shared" si="0"/>
        <v>31</v>
      </c>
      <c r="AL44" s="5">
        <f t="shared" si="1"/>
        <v>0</v>
      </c>
      <c r="AM44" s="5">
        <f t="shared" si="2"/>
        <v>0</v>
      </c>
      <c r="AN44" s="5">
        <f t="shared" si="3"/>
        <v>0</v>
      </c>
      <c r="AO44" s="5">
        <f t="shared" si="4"/>
        <v>0</v>
      </c>
      <c r="AP44" s="5">
        <f t="shared" si="5"/>
        <v>0</v>
      </c>
    </row>
    <row r="45" spans="6:42" ht="15.75" customHeight="1" x14ac:dyDescent="0.35"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f t="shared" si="0"/>
        <v>31</v>
      </c>
      <c r="AL45" s="5">
        <f t="shared" si="1"/>
        <v>0</v>
      </c>
      <c r="AM45" s="5">
        <f t="shared" si="2"/>
        <v>0</v>
      </c>
      <c r="AN45" s="5">
        <f t="shared" si="3"/>
        <v>0</v>
      </c>
      <c r="AO45" s="5">
        <f t="shared" si="4"/>
        <v>0</v>
      </c>
      <c r="AP45" s="5">
        <f t="shared" si="5"/>
        <v>0</v>
      </c>
    </row>
    <row r="46" spans="6:42" ht="15.75" customHeight="1" x14ac:dyDescent="0.35"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>
        <f t="shared" si="0"/>
        <v>31</v>
      </c>
      <c r="AL46" s="5">
        <f t="shared" si="1"/>
        <v>0</v>
      </c>
      <c r="AM46" s="5">
        <f t="shared" si="2"/>
        <v>0</v>
      </c>
      <c r="AN46" s="5">
        <f t="shared" si="3"/>
        <v>0</v>
      </c>
      <c r="AO46" s="5">
        <f t="shared" si="4"/>
        <v>0</v>
      </c>
      <c r="AP46" s="5">
        <f t="shared" si="5"/>
        <v>0</v>
      </c>
    </row>
    <row r="47" spans="6:42" ht="15.75" customHeight="1" x14ac:dyDescent="0.35"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f t="shared" si="0"/>
        <v>31</v>
      </c>
      <c r="AL47" s="5">
        <f t="shared" si="1"/>
        <v>0</v>
      </c>
      <c r="AM47" s="5">
        <f t="shared" si="2"/>
        <v>0</v>
      </c>
      <c r="AN47" s="5">
        <f t="shared" si="3"/>
        <v>0</v>
      </c>
      <c r="AO47" s="5">
        <f t="shared" si="4"/>
        <v>0</v>
      </c>
      <c r="AP47" s="5">
        <f t="shared" si="5"/>
        <v>0</v>
      </c>
    </row>
    <row r="48" spans="6:42" ht="15.75" customHeight="1" x14ac:dyDescent="0.35"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f t="shared" si="0"/>
        <v>31</v>
      </c>
      <c r="AL48" s="5">
        <f t="shared" si="1"/>
        <v>0</v>
      </c>
      <c r="AM48" s="5">
        <f t="shared" si="2"/>
        <v>0</v>
      </c>
      <c r="AN48" s="5">
        <f t="shared" si="3"/>
        <v>0</v>
      </c>
      <c r="AO48" s="5">
        <f t="shared" si="4"/>
        <v>0</v>
      </c>
      <c r="AP48" s="5">
        <f t="shared" si="5"/>
        <v>0</v>
      </c>
    </row>
    <row r="49" spans="6:42" ht="15.75" customHeight="1" x14ac:dyDescent="0.35"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>
        <f t="shared" si="0"/>
        <v>31</v>
      </c>
      <c r="AL49" s="5">
        <f t="shared" si="1"/>
        <v>0</v>
      </c>
      <c r="AM49" s="5">
        <f t="shared" si="2"/>
        <v>0</v>
      </c>
      <c r="AN49" s="5">
        <f t="shared" si="3"/>
        <v>0</v>
      </c>
      <c r="AO49" s="5">
        <f t="shared" si="4"/>
        <v>0</v>
      </c>
      <c r="AP49" s="5">
        <f t="shared" si="5"/>
        <v>0</v>
      </c>
    </row>
    <row r="50" spans="6:42" ht="15.75" customHeight="1" x14ac:dyDescent="0.35"/>
    <row r="51" spans="6:42" ht="15.75" customHeight="1" x14ac:dyDescent="0.35"/>
    <row r="52" spans="6:42" ht="15.75" customHeight="1" x14ac:dyDescent="0.35"/>
    <row r="53" spans="6:42" ht="15.75" customHeight="1" x14ac:dyDescent="0.35"/>
    <row r="54" spans="6:42" ht="15.75" customHeight="1" x14ac:dyDescent="0.35"/>
    <row r="55" spans="6:42" ht="15.75" customHeight="1" x14ac:dyDescent="0.35"/>
    <row r="56" spans="6:42" ht="15.75" customHeight="1" x14ac:dyDescent="0.35"/>
    <row r="57" spans="6:42" ht="15.75" customHeight="1" x14ac:dyDescent="0.35"/>
    <row r="58" spans="6:42" ht="15.75" customHeight="1" x14ac:dyDescent="0.35"/>
    <row r="59" spans="6:42" ht="15.75" customHeight="1" x14ac:dyDescent="0.35"/>
    <row r="60" spans="6:42" ht="15.75" customHeight="1" x14ac:dyDescent="0.35"/>
    <row r="61" spans="6:42" ht="15.75" customHeight="1" x14ac:dyDescent="0.35"/>
    <row r="62" spans="6:42" ht="15.75" customHeight="1" x14ac:dyDescent="0.35"/>
    <row r="63" spans="6:42" ht="15.75" customHeight="1" x14ac:dyDescent="0.35"/>
    <row r="64" spans="6:42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1">
    <dataValidation type="list" allowBlank="1" sqref="F2:AJ49" xr:uid="{00000000-0002-0000-0700-000000000000}">
      <formula1>"P,A,H,CL,SL"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1000"/>
  <sheetViews>
    <sheetView workbookViewId="0"/>
  </sheetViews>
  <sheetFormatPr defaultColWidth="14.453125" defaultRowHeight="15" customHeight="1" x14ac:dyDescent="0.35"/>
  <cols>
    <col min="1" max="42" width="8.7265625" customWidth="1"/>
  </cols>
  <sheetData>
    <row r="1" spans="1:4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5" x14ac:dyDescent="0.35"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f t="shared" ref="AK2:AK49" si="0">COUNTIF(F2:AJ2,"&lt;&gt;H")</f>
        <v>31</v>
      </c>
      <c r="AL2" s="5">
        <f t="shared" ref="AL2:AL49" si="1">COUNTIF(F2:AJ2,"P")</f>
        <v>0</v>
      </c>
      <c r="AM2" s="5">
        <f t="shared" ref="AM2:AM49" si="2">COUNTIF(F2:AJ2,"CL")</f>
        <v>0</v>
      </c>
      <c r="AN2" s="5">
        <f t="shared" ref="AN2:AN49" si="3">COUNTIF(F2:AJ2,"SL")</f>
        <v>0</v>
      </c>
      <c r="AO2" s="5">
        <f t="shared" ref="AO2:AO49" si="4">COUNTIF(F2:AJ2,"A")</f>
        <v>0</v>
      </c>
      <c r="AP2" s="5">
        <f t="shared" ref="AP2:AP49" si="5">(D2/AK2)*AL2</f>
        <v>0</v>
      </c>
    </row>
    <row r="3" spans="1:42" ht="14.5" x14ac:dyDescent="0.35"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f t="shared" si="0"/>
        <v>31</v>
      </c>
      <c r="AL3" s="5">
        <f t="shared" si="1"/>
        <v>0</v>
      </c>
      <c r="AM3" s="5">
        <f t="shared" si="2"/>
        <v>0</v>
      </c>
      <c r="AN3" s="5">
        <f t="shared" si="3"/>
        <v>0</v>
      </c>
      <c r="AO3" s="5">
        <f t="shared" si="4"/>
        <v>0</v>
      </c>
      <c r="AP3" s="5">
        <f t="shared" si="5"/>
        <v>0</v>
      </c>
    </row>
    <row r="4" spans="1:42" ht="14.5" x14ac:dyDescent="0.35"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f t="shared" si="0"/>
        <v>31</v>
      </c>
      <c r="AL4" s="5">
        <f t="shared" si="1"/>
        <v>0</v>
      </c>
      <c r="AM4" s="5">
        <f t="shared" si="2"/>
        <v>0</v>
      </c>
      <c r="AN4" s="5">
        <f t="shared" si="3"/>
        <v>0</v>
      </c>
      <c r="AO4" s="5">
        <f t="shared" si="4"/>
        <v>0</v>
      </c>
      <c r="AP4" s="5">
        <f t="shared" si="5"/>
        <v>0</v>
      </c>
    </row>
    <row r="5" spans="1:42" ht="14.5" x14ac:dyDescent="0.35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f t="shared" si="0"/>
        <v>31</v>
      </c>
      <c r="AL5" s="5">
        <f t="shared" si="1"/>
        <v>0</v>
      </c>
      <c r="AM5" s="5">
        <f t="shared" si="2"/>
        <v>0</v>
      </c>
      <c r="AN5" s="5">
        <f t="shared" si="3"/>
        <v>0</v>
      </c>
      <c r="AO5" s="5">
        <f t="shared" si="4"/>
        <v>0</v>
      </c>
      <c r="AP5" s="5">
        <f t="shared" si="5"/>
        <v>0</v>
      </c>
    </row>
    <row r="6" spans="1:42" ht="14.5" x14ac:dyDescent="0.35"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f t="shared" si="0"/>
        <v>31</v>
      </c>
      <c r="AL6" s="5">
        <f t="shared" si="1"/>
        <v>0</v>
      </c>
      <c r="AM6" s="5">
        <f t="shared" si="2"/>
        <v>0</v>
      </c>
      <c r="AN6" s="5">
        <f t="shared" si="3"/>
        <v>0</v>
      </c>
      <c r="AO6" s="5">
        <f t="shared" si="4"/>
        <v>0</v>
      </c>
      <c r="AP6" s="5">
        <f t="shared" si="5"/>
        <v>0</v>
      </c>
    </row>
    <row r="7" spans="1:42" ht="14.5" x14ac:dyDescent="0.35"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f t="shared" si="0"/>
        <v>31</v>
      </c>
      <c r="AL7" s="5">
        <f t="shared" si="1"/>
        <v>0</v>
      </c>
      <c r="AM7" s="5">
        <f t="shared" si="2"/>
        <v>0</v>
      </c>
      <c r="AN7" s="5">
        <f t="shared" si="3"/>
        <v>0</v>
      </c>
      <c r="AO7" s="5">
        <f t="shared" si="4"/>
        <v>0</v>
      </c>
      <c r="AP7" s="5">
        <f t="shared" si="5"/>
        <v>0</v>
      </c>
    </row>
    <row r="8" spans="1:42" ht="14.5" x14ac:dyDescent="0.35"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f t="shared" si="0"/>
        <v>31</v>
      </c>
      <c r="AL8" s="5">
        <f t="shared" si="1"/>
        <v>0</v>
      </c>
      <c r="AM8" s="5">
        <f t="shared" si="2"/>
        <v>0</v>
      </c>
      <c r="AN8" s="5">
        <f t="shared" si="3"/>
        <v>0</v>
      </c>
      <c r="AO8" s="5">
        <f t="shared" si="4"/>
        <v>0</v>
      </c>
      <c r="AP8" s="5">
        <f t="shared" si="5"/>
        <v>0</v>
      </c>
    </row>
    <row r="9" spans="1:42" ht="14.5" x14ac:dyDescent="0.35"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f t="shared" si="0"/>
        <v>31</v>
      </c>
      <c r="AL9" s="5">
        <f t="shared" si="1"/>
        <v>0</v>
      </c>
      <c r="AM9" s="5">
        <f t="shared" si="2"/>
        <v>0</v>
      </c>
      <c r="AN9" s="5">
        <f t="shared" si="3"/>
        <v>0</v>
      </c>
      <c r="AO9" s="5">
        <f t="shared" si="4"/>
        <v>0</v>
      </c>
      <c r="AP9" s="5">
        <f t="shared" si="5"/>
        <v>0</v>
      </c>
    </row>
    <row r="10" spans="1:42" ht="14.5" x14ac:dyDescent="0.35"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f t="shared" si="0"/>
        <v>31</v>
      </c>
      <c r="AL10" s="5">
        <f t="shared" si="1"/>
        <v>0</v>
      </c>
      <c r="AM10" s="5">
        <f t="shared" si="2"/>
        <v>0</v>
      </c>
      <c r="AN10" s="5">
        <f t="shared" si="3"/>
        <v>0</v>
      </c>
      <c r="AO10" s="5">
        <f t="shared" si="4"/>
        <v>0</v>
      </c>
      <c r="AP10" s="5">
        <f t="shared" si="5"/>
        <v>0</v>
      </c>
    </row>
    <row r="11" spans="1:42" ht="14.5" x14ac:dyDescent="0.35"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f t="shared" si="0"/>
        <v>31</v>
      </c>
      <c r="AL11" s="5">
        <f t="shared" si="1"/>
        <v>0</v>
      </c>
      <c r="AM11" s="5">
        <f t="shared" si="2"/>
        <v>0</v>
      </c>
      <c r="AN11" s="5">
        <f t="shared" si="3"/>
        <v>0</v>
      </c>
      <c r="AO11" s="5">
        <f t="shared" si="4"/>
        <v>0</v>
      </c>
      <c r="AP11" s="5">
        <f t="shared" si="5"/>
        <v>0</v>
      </c>
    </row>
    <row r="12" spans="1:42" ht="14.5" x14ac:dyDescent="0.35"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f t="shared" si="0"/>
        <v>31</v>
      </c>
      <c r="AL12" s="5">
        <f t="shared" si="1"/>
        <v>0</v>
      </c>
      <c r="AM12" s="5">
        <f t="shared" si="2"/>
        <v>0</v>
      </c>
      <c r="AN12" s="5">
        <f t="shared" si="3"/>
        <v>0</v>
      </c>
      <c r="AO12" s="5">
        <f t="shared" si="4"/>
        <v>0</v>
      </c>
      <c r="AP12" s="5">
        <f t="shared" si="5"/>
        <v>0</v>
      </c>
    </row>
    <row r="13" spans="1:42" ht="14.5" x14ac:dyDescent="0.35"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f t="shared" si="0"/>
        <v>31</v>
      </c>
      <c r="AL13" s="5">
        <f t="shared" si="1"/>
        <v>0</v>
      </c>
      <c r="AM13" s="5">
        <f t="shared" si="2"/>
        <v>0</v>
      </c>
      <c r="AN13" s="5">
        <f t="shared" si="3"/>
        <v>0</v>
      </c>
      <c r="AO13" s="5">
        <f t="shared" si="4"/>
        <v>0</v>
      </c>
      <c r="AP13" s="5">
        <f t="shared" si="5"/>
        <v>0</v>
      </c>
    </row>
    <row r="14" spans="1:42" ht="14.5" x14ac:dyDescent="0.35"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f t="shared" si="0"/>
        <v>31</v>
      </c>
      <c r="AL14" s="5">
        <f t="shared" si="1"/>
        <v>0</v>
      </c>
      <c r="AM14" s="5">
        <f t="shared" si="2"/>
        <v>0</v>
      </c>
      <c r="AN14" s="5">
        <f t="shared" si="3"/>
        <v>0</v>
      </c>
      <c r="AO14" s="5">
        <f t="shared" si="4"/>
        <v>0</v>
      </c>
      <c r="AP14" s="5">
        <f t="shared" si="5"/>
        <v>0</v>
      </c>
    </row>
    <row r="15" spans="1:42" ht="14.5" x14ac:dyDescent="0.35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f t="shared" si="0"/>
        <v>31</v>
      </c>
      <c r="AL15" s="5">
        <f t="shared" si="1"/>
        <v>0</v>
      </c>
      <c r="AM15" s="5">
        <f t="shared" si="2"/>
        <v>0</v>
      </c>
      <c r="AN15" s="5">
        <f t="shared" si="3"/>
        <v>0</v>
      </c>
      <c r="AO15" s="5">
        <f t="shared" si="4"/>
        <v>0</v>
      </c>
      <c r="AP15" s="5">
        <f t="shared" si="5"/>
        <v>0</v>
      </c>
    </row>
    <row r="16" spans="1:42" ht="14.5" x14ac:dyDescent="0.3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f t="shared" si="0"/>
        <v>31</v>
      </c>
      <c r="AL16" s="5">
        <f t="shared" si="1"/>
        <v>0</v>
      </c>
      <c r="AM16" s="5">
        <f t="shared" si="2"/>
        <v>0</v>
      </c>
      <c r="AN16" s="5">
        <f t="shared" si="3"/>
        <v>0</v>
      </c>
      <c r="AO16" s="5">
        <f t="shared" si="4"/>
        <v>0</v>
      </c>
      <c r="AP16" s="5">
        <f t="shared" si="5"/>
        <v>0</v>
      </c>
    </row>
    <row r="17" spans="6:42" ht="14.5" x14ac:dyDescent="0.3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f t="shared" si="0"/>
        <v>31</v>
      </c>
      <c r="AL17" s="5">
        <f t="shared" si="1"/>
        <v>0</v>
      </c>
      <c r="AM17" s="5">
        <f t="shared" si="2"/>
        <v>0</v>
      </c>
      <c r="AN17" s="5">
        <f t="shared" si="3"/>
        <v>0</v>
      </c>
      <c r="AO17" s="5">
        <f t="shared" si="4"/>
        <v>0</v>
      </c>
      <c r="AP17" s="5">
        <f t="shared" si="5"/>
        <v>0</v>
      </c>
    </row>
    <row r="18" spans="6:42" ht="14.5" x14ac:dyDescent="0.3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f t="shared" si="0"/>
        <v>31</v>
      </c>
      <c r="AL18" s="5">
        <f t="shared" si="1"/>
        <v>0</v>
      </c>
      <c r="AM18" s="5">
        <f t="shared" si="2"/>
        <v>0</v>
      </c>
      <c r="AN18" s="5">
        <f t="shared" si="3"/>
        <v>0</v>
      </c>
      <c r="AO18" s="5">
        <f t="shared" si="4"/>
        <v>0</v>
      </c>
      <c r="AP18" s="5">
        <f t="shared" si="5"/>
        <v>0</v>
      </c>
    </row>
    <row r="19" spans="6:42" ht="14.5" x14ac:dyDescent="0.35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f t="shared" si="0"/>
        <v>31</v>
      </c>
      <c r="AL19" s="5">
        <f t="shared" si="1"/>
        <v>0</v>
      </c>
      <c r="AM19" s="5">
        <f t="shared" si="2"/>
        <v>0</v>
      </c>
      <c r="AN19" s="5">
        <f t="shared" si="3"/>
        <v>0</v>
      </c>
      <c r="AO19" s="5">
        <f t="shared" si="4"/>
        <v>0</v>
      </c>
      <c r="AP19" s="5">
        <f t="shared" si="5"/>
        <v>0</v>
      </c>
    </row>
    <row r="20" spans="6:42" ht="14.5" x14ac:dyDescent="0.3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f t="shared" si="0"/>
        <v>31</v>
      </c>
      <c r="AL20" s="5">
        <f t="shared" si="1"/>
        <v>0</v>
      </c>
      <c r="AM20" s="5">
        <f t="shared" si="2"/>
        <v>0</v>
      </c>
      <c r="AN20" s="5">
        <f t="shared" si="3"/>
        <v>0</v>
      </c>
      <c r="AO20" s="5">
        <f t="shared" si="4"/>
        <v>0</v>
      </c>
      <c r="AP20" s="5">
        <f t="shared" si="5"/>
        <v>0</v>
      </c>
    </row>
    <row r="21" spans="6:42" ht="15.75" customHeight="1" x14ac:dyDescent="0.35"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f t="shared" si="0"/>
        <v>31</v>
      </c>
      <c r="AL21" s="5">
        <f t="shared" si="1"/>
        <v>0</v>
      </c>
      <c r="AM21" s="5">
        <f t="shared" si="2"/>
        <v>0</v>
      </c>
      <c r="AN21" s="5">
        <f t="shared" si="3"/>
        <v>0</v>
      </c>
      <c r="AO21" s="5">
        <f t="shared" si="4"/>
        <v>0</v>
      </c>
      <c r="AP21" s="5">
        <f t="shared" si="5"/>
        <v>0</v>
      </c>
    </row>
    <row r="22" spans="6:42" ht="15.75" customHeight="1" x14ac:dyDescent="0.35"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f t="shared" si="0"/>
        <v>31</v>
      </c>
      <c r="AL22" s="5">
        <f t="shared" si="1"/>
        <v>0</v>
      </c>
      <c r="AM22" s="5">
        <f t="shared" si="2"/>
        <v>0</v>
      </c>
      <c r="AN22" s="5">
        <f t="shared" si="3"/>
        <v>0</v>
      </c>
      <c r="AO22" s="5">
        <f t="shared" si="4"/>
        <v>0</v>
      </c>
      <c r="AP22" s="5">
        <f t="shared" si="5"/>
        <v>0</v>
      </c>
    </row>
    <row r="23" spans="6:42" ht="15.75" customHeight="1" x14ac:dyDescent="0.35"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f t="shared" si="0"/>
        <v>31</v>
      </c>
      <c r="AL23" s="5">
        <f t="shared" si="1"/>
        <v>0</v>
      </c>
      <c r="AM23" s="5">
        <f t="shared" si="2"/>
        <v>0</v>
      </c>
      <c r="AN23" s="5">
        <f t="shared" si="3"/>
        <v>0</v>
      </c>
      <c r="AO23" s="5">
        <f t="shared" si="4"/>
        <v>0</v>
      </c>
      <c r="AP23" s="5">
        <f t="shared" si="5"/>
        <v>0</v>
      </c>
    </row>
    <row r="24" spans="6:42" ht="15.75" customHeight="1" x14ac:dyDescent="0.35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f t="shared" si="0"/>
        <v>31</v>
      </c>
      <c r="AL24" s="5">
        <f t="shared" si="1"/>
        <v>0</v>
      </c>
      <c r="AM24" s="5">
        <f t="shared" si="2"/>
        <v>0</v>
      </c>
      <c r="AN24" s="5">
        <f t="shared" si="3"/>
        <v>0</v>
      </c>
      <c r="AO24" s="5">
        <f t="shared" si="4"/>
        <v>0</v>
      </c>
      <c r="AP24" s="5">
        <f t="shared" si="5"/>
        <v>0</v>
      </c>
    </row>
    <row r="25" spans="6:42" ht="15.75" customHeight="1" x14ac:dyDescent="0.35"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f t="shared" si="0"/>
        <v>31</v>
      </c>
      <c r="AL25" s="5">
        <f t="shared" si="1"/>
        <v>0</v>
      </c>
      <c r="AM25" s="5">
        <f t="shared" si="2"/>
        <v>0</v>
      </c>
      <c r="AN25" s="5">
        <f t="shared" si="3"/>
        <v>0</v>
      </c>
      <c r="AO25" s="5">
        <f t="shared" si="4"/>
        <v>0</v>
      </c>
      <c r="AP25" s="5">
        <f t="shared" si="5"/>
        <v>0</v>
      </c>
    </row>
    <row r="26" spans="6:42" ht="15.75" customHeight="1" x14ac:dyDescent="0.35"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>
        <f t="shared" si="0"/>
        <v>31</v>
      </c>
      <c r="AL26" s="5">
        <f t="shared" si="1"/>
        <v>0</v>
      </c>
      <c r="AM26" s="5">
        <f t="shared" si="2"/>
        <v>0</v>
      </c>
      <c r="AN26" s="5">
        <f t="shared" si="3"/>
        <v>0</v>
      </c>
      <c r="AO26" s="5">
        <f t="shared" si="4"/>
        <v>0</v>
      </c>
      <c r="AP26" s="5">
        <f t="shared" si="5"/>
        <v>0</v>
      </c>
    </row>
    <row r="27" spans="6:42" ht="15.75" customHeight="1" x14ac:dyDescent="0.35"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>
        <f t="shared" si="0"/>
        <v>31</v>
      </c>
      <c r="AL27" s="5">
        <f t="shared" si="1"/>
        <v>0</v>
      </c>
      <c r="AM27" s="5">
        <f t="shared" si="2"/>
        <v>0</v>
      </c>
      <c r="AN27" s="5">
        <f t="shared" si="3"/>
        <v>0</v>
      </c>
      <c r="AO27" s="5">
        <f t="shared" si="4"/>
        <v>0</v>
      </c>
      <c r="AP27" s="5">
        <f t="shared" si="5"/>
        <v>0</v>
      </c>
    </row>
    <row r="28" spans="6:42" ht="15.75" customHeight="1" x14ac:dyDescent="0.35"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>
        <f t="shared" si="0"/>
        <v>31</v>
      </c>
      <c r="AL28" s="5">
        <f t="shared" si="1"/>
        <v>0</v>
      </c>
      <c r="AM28" s="5">
        <f t="shared" si="2"/>
        <v>0</v>
      </c>
      <c r="AN28" s="5">
        <f t="shared" si="3"/>
        <v>0</v>
      </c>
      <c r="AO28" s="5">
        <f t="shared" si="4"/>
        <v>0</v>
      </c>
      <c r="AP28" s="5">
        <f t="shared" si="5"/>
        <v>0</v>
      </c>
    </row>
    <row r="29" spans="6:42" ht="15.75" customHeight="1" x14ac:dyDescent="0.35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f t="shared" si="0"/>
        <v>31</v>
      </c>
      <c r="AL29" s="5">
        <f t="shared" si="1"/>
        <v>0</v>
      </c>
      <c r="AM29" s="5">
        <f t="shared" si="2"/>
        <v>0</v>
      </c>
      <c r="AN29" s="5">
        <f t="shared" si="3"/>
        <v>0</v>
      </c>
      <c r="AO29" s="5">
        <f t="shared" si="4"/>
        <v>0</v>
      </c>
      <c r="AP29" s="5">
        <f t="shared" si="5"/>
        <v>0</v>
      </c>
    </row>
    <row r="30" spans="6:42" ht="15.75" customHeight="1" x14ac:dyDescent="0.35"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>
        <f t="shared" si="0"/>
        <v>31</v>
      </c>
      <c r="AL30" s="5">
        <f t="shared" si="1"/>
        <v>0</v>
      </c>
      <c r="AM30" s="5">
        <f t="shared" si="2"/>
        <v>0</v>
      </c>
      <c r="AN30" s="5">
        <f t="shared" si="3"/>
        <v>0</v>
      </c>
      <c r="AO30" s="5">
        <f t="shared" si="4"/>
        <v>0</v>
      </c>
      <c r="AP30" s="5">
        <f t="shared" si="5"/>
        <v>0</v>
      </c>
    </row>
    <row r="31" spans="6:42" ht="15.75" customHeight="1" x14ac:dyDescent="0.35"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f t="shared" si="0"/>
        <v>31</v>
      </c>
      <c r="AL31" s="5">
        <f t="shared" si="1"/>
        <v>0</v>
      </c>
      <c r="AM31" s="5">
        <f t="shared" si="2"/>
        <v>0</v>
      </c>
      <c r="AN31" s="5">
        <f t="shared" si="3"/>
        <v>0</v>
      </c>
      <c r="AO31" s="5">
        <f t="shared" si="4"/>
        <v>0</v>
      </c>
      <c r="AP31" s="5">
        <f t="shared" si="5"/>
        <v>0</v>
      </c>
    </row>
    <row r="32" spans="6:42" ht="15.75" customHeight="1" x14ac:dyDescent="0.35"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>
        <f t="shared" si="0"/>
        <v>31</v>
      </c>
      <c r="AL32" s="5">
        <f t="shared" si="1"/>
        <v>0</v>
      </c>
      <c r="AM32" s="5">
        <f t="shared" si="2"/>
        <v>0</v>
      </c>
      <c r="AN32" s="5">
        <f t="shared" si="3"/>
        <v>0</v>
      </c>
      <c r="AO32" s="5">
        <f t="shared" si="4"/>
        <v>0</v>
      </c>
      <c r="AP32" s="5">
        <f t="shared" si="5"/>
        <v>0</v>
      </c>
    </row>
    <row r="33" spans="6:42" ht="15.75" customHeight="1" x14ac:dyDescent="0.35"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f t="shared" si="0"/>
        <v>31</v>
      </c>
      <c r="AL33" s="5">
        <f t="shared" si="1"/>
        <v>0</v>
      </c>
      <c r="AM33" s="5">
        <f t="shared" si="2"/>
        <v>0</v>
      </c>
      <c r="AN33" s="5">
        <f t="shared" si="3"/>
        <v>0</v>
      </c>
      <c r="AO33" s="5">
        <f t="shared" si="4"/>
        <v>0</v>
      </c>
      <c r="AP33" s="5">
        <f t="shared" si="5"/>
        <v>0</v>
      </c>
    </row>
    <row r="34" spans="6:42" ht="15.75" customHeight="1" x14ac:dyDescent="0.35"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f t="shared" si="0"/>
        <v>31</v>
      </c>
      <c r="AL34" s="5">
        <f t="shared" si="1"/>
        <v>0</v>
      </c>
      <c r="AM34" s="5">
        <f t="shared" si="2"/>
        <v>0</v>
      </c>
      <c r="AN34" s="5">
        <f t="shared" si="3"/>
        <v>0</v>
      </c>
      <c r="AO34" s="5">
        <f t="shared" si="4"/>
        <v>0</v>
      </c>
      <c r="AP34" s="5">
        <f t="shared" si="5"/>
        <v>0</v>
      </c>
    </row>
    <row r="35" spans="6:42" ht="15.75" customHeight="1" x14ac:dyDescent="0.35"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>
        <f t="shared" si="0"/>
        <v>31</v>
      </c>
      <c r="AL35" s="5">
        <f t="shared" si="1"/>
        <v>0</v>
      </c>
      <c r="AM35" s="5">
        <f t="shared" si="2"/>
        <v>0</v>
      </c>
      <c r="AN35" s="5">
        <f t="shared" si="3"/>
        <v>0</v>
      </c>
      <c r="AO35" s="5">
        <f t="shared" si="4"/>
        <v>0</v>
      </c>
      <c r="AP35" s="5">
        <f t="shared" si="5"/>
        <v>0</v>
      </c>
    </row>
    <row r="36" spans="6:42" ht="15.75" customHeight="1" x14ac:dyDescent="0.35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>
        <f t="shared" si="0"/>
        <v>31</v>
      </c>
      <c r="AL36" s="5">
        <f t="shared" si="1"/>
        <v>0</v>
      </c>
      <c r="AM36" s="5">
        <f t="shared" si="2"/>
        <v>0</v>
      </c>
      <c r="AN36" s="5">
        <f t="shared" si="3"/>
        <v>0</v>
      </c>
      <c r="AO36" s="5">
        <f t="shared" si="4"/>
        <v>0</v>
      </c>
      <c r="AP36" s="5">
        <f t="shared" si="5"/>
        <v>0</v>
      </c>
    </row>
    <row r="37" spans="6:42" ht="15.75" customHeight="1" x14ac:dyDescent="0.35"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f t="shared" si="0"/>
        <v>31</v>
      </c>
      <c r="AL37" s="5">
        <f t="shared" si="1"/>
        <v>0</v>
      </c>
      <c r="AM37" s="5">
        <f t="shared" si="2"/>
        <v>0</v>
      </c>
      <c r="AN37" s="5">
        <f t="shared" si="3"/>
        <v>0</v>
      </c>
      <c r="AO37" s="5">
        <f t="shared" si="4"/>
        <v>0</v>
      </c>
      <c r="AP37" s="5">
        <f t="shared" si="5"/>
        <v>0</v>
      </c>
    </row>
    <row r="38" spans="6:42" ht="15.75" customHeight="1" x14ac:dyDescent="0.35"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f t="shared" si="0"/>
        <v>31</v>
      </c>
      <c r="AL38" s="5">
        <f t="shared" si="1"/>
        <v>0</v>
      </c>
      <c r="AM38" s="5">
        <f t="shared" si="2"/>
        <v>0</v>
      </c>
      <c r="AN38" s="5">
        <f t="shared" si="3"/>
        <v>0</v>
      </c>
      <c r="AO38" s="5">
        <f t="shared" si="4"/>
        <v>0</v>
      </c>
      <c r="AP38" s="5">
        <f t="shared" si="5"/>
        <v>0</v>
      </c>
    </row>
    <row r="39" spans="6:42" ht="15.75" customHeight="1" x14ac:dyDescent="0.35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f t="shared" si="0"/>
        <v>31</v>
      </c>
      <c r="AL39" s="5">
        <f t="shared" si="1"/>
        <v>0</v>
      </c>
      <c r="AM39" s="5">
        <f t="shared" si="2"/>
        <v>0</v>
      </c>
      <c r="AN39" s="5">
        <f t="shared" si="3"/>
        <v>0</v>
      </c>
      <c r="AO39" s="5">
        <f t="shared" si="4"/>
        <v>0</v>
      </c>
      <c r="AP39" s="5">
        <f t="shared" si="5"/>
        <v>0</v>
      </c>
    </row>
    <row r="40" spans="6:42" ht="15.75" customHeight="1" x14ac:dyDescent="0.35"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f t="shared" si="0"/>
        <v>31</v>
      </c>
      <c r="AL40" s="5">
        <f t="shared" si="1"/>
        <v>0</v>
      </c>
      <c r="AM40" s="5">
        <f t="shared" si="2"/>
        <v>0</v>
      </c>
      <c r="AN40" s="5">
        <f t="shared" si="3"/>
        <v>0</v>
      </c>
      <c r="AO40" s="5">
        <f t="shared" si="4"/>
        <v>0</v>
      </c>
      <c r="AP40" s="5">
        <f t="shared" si="5"/>
        <v>0</v>
      </c>
    </row>
    <row r="41" spans="6:42" ht="15.75" customHeight="1" x14ac:dyDescent="0.35"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>
        <f t="shared" si="0"/>
        <v>31</v>
      </c>
      <c r="AL41" s="5">
        <f t="shared" si="1"/>
        <v>0</v>
      </c>
      <c r="AM41" s="5">
        <f t="shared" si="2"/>
        <v>0</v>
      </c>
      <c r="AN41" s="5">
        <f t="shared" si="3"/>
        <v>0</v>
      </c>
      <c r="AO41" s="5">
        <f t="shared" si="4"/>
        <v>0</v>
      </c>
      <c r="AP41" s="5">
        <f t="shared" si="5"/>
        <v>0</v>
      </c>
    </row>
    <row r="42" spans="6:42" ht="15.75" customHeight="1" x14ac:dyDescent="0.35"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f t="shared" si="0"/>
        <v>31</v>
      </c>
      <c r="AL42" s="5">
        <f t="shared" si="1"/>
        <v>0</v>
      </c>
      <c r="AM42" s="5">
        <f t="shared" si="2"/>
        <v>0</v>
      </c>
      <c r="AN42" s="5">
        <f t="shared" si="3"/>
        <v>0</v>
      </c>
      <c r="AO42" s="5">
        <f t="shared" si="4"/>
        <v>0</v>
      </c>
      <c r="AP42" s="5">
        <f t="shared" si="5"/>
        <v>0</v>
      </c>
    </row>
    <row r="43" spans="6:42" ht="15.75" customHeight="1" x14ac:dyDescent="0.35"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>
        <f t="shared" si="0"/>
        <v>31</v>
      </c>
      <c r="AL43" s="5">
        <f t="shared" si="1"/>
        <v>0</v>
      </c>
      <c r="AM43" s="5">
        <f t="shared" si="2"/>
        <v>0</v>
      </c>
      <c r="AN43" s="5">
        <f t="shared" si="3"/>
        <v>0</v>
      </c>
      <c r="AO43" s="5">
        <f t="shared" si="4"/>
        <v>0</v>
      </c>
      <c r="AP43" s="5">
        <f t="shared" si="5"/>
        <v>0</v>
      </c>
    </row>
    <row r="44" spans="6:42" ht="15.75" customHeight="1" x14ac:dyDescent="0.35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f t="shared" si="0"/>
        <v>31</v>
      </c>
      <c r="AL44" s="5">
        <f t="shared" si="1"/>
        <v>0</v>
      </c>
      <c r="AM44" s="5">
        <f t="shared" si="2"/>
        <v>0</v>
      </c>
      <c r="AN44" s="5">
        <f t="shared" si="3"/>
        <v>0</v>
      </c>
      <c r="AO44" s="5">
        <f t="shared" si="4"/>
        <v>0</v>
      </c>
      <c r="AP44" s="5">
        <f t="shared" si="5"/>
        <v>0</v>
      </c>
    </row>
    <row r="45" spans="6:42" ht="15.75" customHeight="1" x14ac:dyDescent="0.35"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f t="shared" si="0"/>
        <v>31</v>
      </c>
      <c r="AL45" s="5">
        <f t="shared" si="1"/>
        <v>0</v>
      </c>
      <c r="AM45" s="5">
        <f t="shared" si="2"/>
        <v>0</v>
      </c>
      <c r="AN45" s="5">
        <f t="shared" si="3"/>
        <v>0</v>
      </c>
      <c r="AO45" s="5">
        <f t="shared" si="4"/>
        <v>0</v>
      </c>
      <c r="AP45" s="5">
        <f t="shared" si="5"/>
        <v>0</v>
      </c>
    </row>
    <row r="46" spans="6:42" ht="15.75" customHeight="1" x14ac:dyDescent="0.35"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>
        <f t="shared" si="0"/>
        <v>31</v>
      </c>
      <c r="AL46" s="5">
        <f t="shared" si="1"/>
        <v>0</v>
      </c>
      <c r="AM46" s="5">
        <f t="shared" si="2"/>
        <v>0</v>
      </c>
      <c r="AN46" s="5">
        <f t="shared" si="3"/>
        <v>0</v>
      </c>
      <c r="AO46" s="5">
        <f t="shared" si="4"/>
        <v>0</v>
      </c>
      <c r="AP46" s="5">
        <f t="shared" si="5"/>
        <v>0</v>
      </c>
    </row>
    <row r="47" spans="6:42" ht="15.75" customHeight="1" x14ac:dyDescent="0.35"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f t="shared" si="0"/>
        <v>31</v>
      </c>
      <c r="AL47" s="5">
        <f t="shared" si="1"/>
        <v>0</v>
      </c>
      <c r="AM47" s="5">
        <f t="shared" si="2"/>
        <v>0</v>
      </c>
      <c r="AN47" s="5">
        <f t="shared" si="3"/>
        <v>0</v>
      </c>
      <c r="AO47" s="5">
        <f t="shared" si="4"/>
        <v>0</v>
      </c>
      <c r="AP47" s="5">
        <f t="shared" si="5"/>
        <v>0</v>
      </c>
    </row>
    <row r="48" spans="6:42" ht="15.75" customHeight="1" x14ac:dyDescent="0.35"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f t="shared" si="0"/>
        <v>31</v>
      </c>
      <c r="AL48" s="5">
        <f t="shared" si="1"/>
        <v>0</v>
      </c>
      <c r="AM48" s="5">
        <f t="shared" si="2"/>
        <v>0</v>
      </c>
      <c r="AN48" s="5">
        <f t="shared" si="3"/>
        <v>0</v>
      </c>
      <c r="AO48" s="5">
        <f t="shared" si="4"/>
        <v>0</v>
      </c>
      <c r="AP48" s="5">
        <f t="shared" si="5"/>
        <v>0</v>
      </c>
    </row>
    <row r="49" spans="6:42" ht="15.75" customHeight="1" x14ac:dyDescent="0.35"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>
        <f t="shared" si="0"/>
        <v>31</v>
      </c>
      <c r="AL49" s="5">
        <f t="shared" si="1"/>
        <v>0</v>
      </c>
      <c r="AM49" s="5">
        <f t="shared" si="2"/>
        <v>0</v>
      </c>
      <c r="AN49" s="5">
        <f t="shared" si="3"/>
        <v>0</v>
      </c>
      <c r="AO49" s="5">
        <f t="shared" si="4"/>
        <v>0</v>
      </c>
      <c r="AP49" s="5">
        <f t="shared" si="5"/>
        <v>0</v>
      </c>
    </row>
    <row r="50" spans="6:42" ht="15.75" customHeight="1" x14ac:dyDescent="0.35"/>
    <row r="51" spans="6:42" ht="15.75" customHeight="1" x14ac:dyDescent="0.35"/>
    <row r="52" spans="6:42" ht="15.75" customHeight="1" x14ac:dyDescent="0.35"/>
    <row r="53" spans="6:42" ht="15.75" customHeight="1" x14ac:dyDescent="0.35"/>
    <row r="54" spans="6:42" ht="15.75" customHeight="1" x14ac:dyDescent="0.35"/>
    <row r="55" spans="6:42" ht="15.75" customHeight="1" x14ac:dyDescent="0.35"/>
    <row r="56" spans="6:42" ht="15.75" customHeight="1" x14ac:dyDescent="0.35"/>
    <row r="57" spans="6:42" ht="15.75" customHeight="1" x14ac:dyDescent="0.35"/>
    <row r="58" spans="6:42" ht="15.75" customHeight="1" x14ac:dyDescent="0.35"/>
    <row r="59" spans="6:42" ht="15.75" customHeight="1" x14ac:dyDescent="0.35"/>
    <row r="60" spans="6:42" ht="15.75" customHeight="1" x14ac:dyDescent="0.35"/>
    <row r="61" spans="6:42" ht="15.75" customHeight="1" x14ac:dyDescent="0.35"/>
    <row r="62" spans="6:42" ht="15.75" customHeight="1" x14ac:dyDescent="0.35"/>
    <row r="63" spans="6:42" ht="15.75" customHeight="1" x14ac:dyDescent="0.35"/>
    <row r="64" spans="6:42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1">
    <dataValidation type="list" allowBlank="1" sqref="F2:AJ49" xr:uid="{00000000-0002-0000-0800-000000000000}">
      <formula1>"P,A,H,CL,SL"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1000"/>
  <sheetViews>
    <sheetView workbookViewId="0"/>
  </sheetViews>
  <sheetFormatPr defaultColWidth="14.453125" defaultRowHeight="15" customHeight="1" x14ac:dyDescent="0.35"/>
  <cols>
    <col min="1" max="42" width="8.7265625" customWidth="1"/>
  </cols>
  <sheetData>
    <row r="1" spans="1:4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5" x14ac:dyDescent="0.35"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f t="shared" ref="AK2:AK49" si="0">COUNTIF(F2:AJ2,"&lt;&gt;H")</f>
        <v>31</v>
      </c>
      <c r="AL2" s="5">
        <f t="shared" ref="AL2:AL49" si="1">COUNTIF(F2:AJ2,"P")</f>
        <v>0</v>
      </c>
      <c r="AM2" s="5">
        <f t="shared" ref="AM2:AM49" si="2">COUNTIF(F2:AJ2,"CL")</f>
        <v>0</v>
      </c>
      <c r="AN2" s="5">
        <f t="shared" ref="AN2:AN49" si="3">COUNTIF(F2:AJ2,"SL")</f>
        <v>0</v>
      </c>
      <c r="AO2" s="5">
        <f t="shared" ref="AO2:AO49" si="4">COUNTIF(F2:AJ2,"A")</f>
        <v>0</v>
      </c>
      <c r="AP2" s="5">
        <f t="shared" ref="AP2:AP49" si="5">(D2/AK2)*AL2</f>
        <v>0</v>
      </c>
    </row>
    <row r="3" spans="1:42" ht="14.5" x14ac:dyDescent="0.35"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f t="shared" si="0"/>
        <v>31</v>
      </c>
      <c r="AL3" s="5">
        <f t="shared" si="1"/>
        <v>0</v>
      </c>
      <c r="AM3" s="5">
        <f t="shared" si="2"/>
        <v>0</v>
      </c>
      <c r="AN3" s="5">
        <f t="shared" si="3"/>
        <v>0</v>
      </c>
      <c r="AO3" s="5">
        <f t="shared" si="4"/>
        <v>0</v>
      </c>
      <c r="AP3" s="5">
        <f t="shared" si="5"/>
        <v>0</v>
      </c>
    </row>
    <row r="4" spans="1:42" ht="14.5" x14ac:dyDescent="0.35"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f t="shared" si="0"/>
        <v>31</v>
      </c>
      <c r="AL4" s="5">
        <f t="shared" si="1"/>
        <v>0</v>
      </c>
      <c r="AM4" s="5">
        <f t="shared" si="2"/>
        <v>0</v>
      </c>
      <c r="AN4" s="5">
        <f t="shared" si="3"/>
        <v>0</v>
      </c>
      <c r="AO4" s="5">
        <f t="shared" si="4"/>
        <v>0</v>
      </c>
      <c r="AP4" s="5">
        <f t="shared" si="5"/>
        <v>0</v>
      </c>
    </row>
    <row r="5" spans="1:42" ht="14.5" x14ac:dyDescent="0.35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f t="shared" si="0"/>
        <v>31</v>
      </c>
      <c r="AL5" s="5">
        <f t="shared" si="1"/>
        <v>0</v>
      </c>
      <c r="AM5" s="5">
        <f t="shared" si="2"/>
        <v>0</v>
      </c>
      <c r="AN5" s="5">
        <f t="shared" si="3"/>
        <v>0</v>
      </c>
      <c r="AO5" s="5">
        <f t="shared" si="4"/>
        <v>0</v>
      </c>
      <c r="AP5" s="5">
        <f t="shared" si="5"/>
        <v>0</v>
      </c>
    </row>
    <row r="6" spans="1:42" ht="14.5" x14ac:dyDescent="0.35"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f t="shared" si="0"/>
        <v>31</v>
      </c>
      <c r="AL6" s="5">
        <f t="shared" si="1"/>
        <v>0</v>
      </c>
      <c r="AM6" s="5">
        <f t="shared" si="2"/>
        <v>0</v>
      </c>
      <c r="AN6" s="5">
        <f t="shared" si="3"/>
        <v>0</v>
      </c>
      <c r="AO6" s="5">
        <f t="shared" si="4"/>
        <v>0</v>
      </c>
      <c r="AP6" s="5">
        <f t="shared" si="5"/>
        <v>0</v>
      </c>
    </row>
    <row r="7" spans="1:42" ht="14.5" x14ac:dyDescent="0.35"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f t="shared" si="0"/>
        <v>31</v>
      </c>
      <c r="AL7" s="5">
        <f t="shared" si="1"/>
        <v>0</v>
      </c>
      <c r="AM7" s="5">
        <f t="shared" si="2"/>
        <v>0</v>
      </c>
      <c r="AN7" s="5">
        <f t="shared" si="3"/>
        <v>0</v>
      </c>
      <c r="AO7" s="5">
        <f t="shared" si="4"/>
        <v>0</v>
      </c>
      <c r="AP7" s="5">
        <f t="shared" si="5"/>
        <v>0</v>
      </c>
    </row>
    <row r="8" spans="1:42" ht="14.5" x14ac:dyDescent="0.35"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f t="shared" si="0"/>
        <v>31</v>
      </c>
      <c r="AL8" s="5">
        <f t="shared" si="1"/>
        <v>0</v>
      </c>
      <c r="AM8" s="5">
        <f t="shared" si="2"/>
        <v>0</v>
      </c>
      <c r="AN8" s="5">
        <f t="shared" si="3"/>
        <v>0</v>
      </c>
      <c r="AO8" s="5">
        <f t="shared" si="4"/>
        <v>0</v>
      </c>
      <c r="AP8" s="5">
        <f t="shared" si="5"/>
        <v>0</v>
      </c>
    </row>
    <row r="9" spans="1:42" ht="14.5" x14ac:dyDescent="0.35"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f t="shared" si="0"/>
        <v>31</v>
      </c>
      <c r="AL9" s="5">
        <f t="shared" si="1"/>
        <v>0</v>
      </c>
      <c r="AM9" s="5">
        <f t="shared" si="2"/>
        <v>0</v>
      </c>
      <c r="AN9" s="5">
        <f t="shared" si="3"/>
        <v>0</v>
      </c>
      <c r="AO9" s="5">
        <f t="shared" si="4"/>
        <v>0</v>
      </c>
      <c r="AP9" s="5">
        <f t="shared" si="5"/>
        <v>0</v>
      </c>
    </row>
    <row r="10" spans="1:42" ht="14.5" x14ac:dyDescent="0.35"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f t="shared" si="0"/>
        <v>31</v>
      </c>
      <c r="AL10" s="5">
        <f t="shared" si="1"/>
        <v>0</v>
      </c>
      <c r="AM10" s="5">
        <f t="shared" si="2"/>
        <v>0</v>
      </c>
      <c r="AN10" s="5">
        <f t="shared" si="3"/>
        <v>0</v>
      </c>
      <c r="AO10" s="5">
        <f t="shared" si="4"/>
        <v>0</v>
      </c>
      <c r="AP10" s="5">
        <f t="shared" si="5"/>
        <v>0</v>
      </c>
    </row>
    <row r="11" spans="1:42" ht="14.5" x14ac:dyDescent="0.35"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f t="shared" si="0"/>
        <v>31</v>
      </c>
      <c r="AL11" s="5">
        <f t="shared" si="1"/>
        <v>0</v>
      </c>
      <c r="AM11" s="5">
        <f t="shared" si="2"/>
        <v>0</v>
      </c>
      <c r="AN11" s="5">
        <f t="shared" si="3"/>
        <v>0</v>
      </c>
      <c r="AO11" s="5">
        <f t="shared" si="4"/>
        <v>0</v>
      </c>
      <c r="AP11" s="5">
        <f t="shared" si="5"/>
        <v>0</v>
      </c>
    </row>
    <row r="12" spans="1:42" ht="14.5" x14ac:dyDescent="0.35"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f t="shared" si="0"/>
        <v>31</v>
      </c>
      <c r="AL12" s="5">
        <f t="shared" si="1"/>
        <v>0</v>
      </c>
      <c r="AM12" s="5">
        <f t="shared" si="2"/>
        <v>0</v>
      </c>
      <c r="AN12" s="5">
        <f t="shared" si="3"/>
        <v>0</v>
      </c>
      <c r="AO12" s="5">
        <f t="shared" si="4"/>
        <v>0</v>
      </c>
      <c r="AP12" s="5">
        <f t="shared" si="5"/>
        <v>0</v>
      </c>
    </row>
    <row r="13" spans="1:42" ht="14.5" x14ac:dyDescent="0.35"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f t="shared" si="0"/>
        <v>31</v>
      </c>
      <c r="AL13" s="5">
        <f t="shared" si="1"/>
        <v>0</v>
      </c>
      <c r="AM13" s="5">
        <f t="shared" si="2"/>
        <v>0</v>
      </c>
      <c r="AN13" s="5">
        <f t="shared" si="3"/>
        <v>0</v>
      </c>
      <c r="AO13" s="5">
        <f t="shared" si="4"/>
        <v>0</v>
      </c>
      <c r="AP13" s="5">
        <f t="shared" si="5"/>
        <v>0</v>
      </c>
    </row>
    <row r="14" spans="1:42" ht="14.5" x14ac:dyDescent="0.35"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f t="shared" si="0"/>
        <v>31</v>
      </c>
      <c r="AL14" s="5">
        <f t="shared" si="1"/>
        <v>0</v>
      </c>
      <c r="AM14" s="5">
        <f t="shared" si="2"/>
        <v>0</v>
      </c>
      <c r="AN14" s="5">
        <f t="shared" si="3"/>
        <v>0</v>
      </c>
      <c r="AO14" s="5">
        <f t="shared" si="4"/>
        <v>0</v>
      </c>
      <c r="AP14" s="5">
        <f t="shared" si="5"/>
        <v>0</v>
      </c>
    </row>
    <row r="15" spans="1:42" ht="14.5" x14ac:dyDescent="0.35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f t="shared" si="0"/>
        <v>31</v>
      </c>
      <c r="AL15" s="5">
        <f t="shared" si="1"/>
        <v>0</v>
      </c>
      <c r="AM15" s="5">
        <f t="shared" si="2"/>
        <v>0</v>
      </c>
      <c r="AN15" s="5">
        <f t="shared" si="3"/>
        <v>0</v>
      </c>
      <c r="AO15" s="5">
        <f t="shared" si="4"/>
        <v>0</v>
      </c>
      <c r="AP15" s="5">
        <f t="shared" si="5"/>
        <v>0</v>
      </c>
    </row>
    <row r="16" spans="1:42" ht="14.5" x14ac:dyDescent="0.3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f t="shared" si="0"/>
        <v>31</v>
      </c>
      <c r="AL16" s="5">
        <f t="shared" si="1"/>
        <v>0</v>
      </c>
      <c r="AM16" s="5">
        <f t="shared" si="2"/>
        <v>0</v>
      </c>
      <c r="AN16" s="5">
        <f t="shared" si="3"/>
        <v>0</v>
      </c>
      <c r="AO16" s="5">
        <f t="shared" si="4"/>
        <v>0</v>
      </c>
      <c r="AP16" s="5">
        <f t="shared" si="5"/>
        <v>0</v>
      </c>
    </row>
    <row r="17" spans="6:42" ht="14.5" x14ac:dyDescent="0.3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f t="shared" si="0"/>
        <v>31</v>
      </c>
      <c r="AL17" s="5">
        <f t="shared" si="1"/>
        <v>0</v>
      </c>
      <c r="AM17" s="5">
        <f t="shared" si="2"/>
        <v>0</v>
      </c>
      <c r="AN17" s="5">
        <f t="shared" si="3"/>
        <v>0</v>
      </c>
      <c r="AO17" s="5">
        <f t="shared" si="4"/>
        <v>0</v>
      </c>
      <c r="AP17" s="5">
        <f t="shared" si="5"/>
        <v>0</v>
      </c>
    </row>
    <row r="18" spans="6:42" ht="14.5" x14ac:dyDescent="0.3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f t="shared" si="0"/>
        <v>31</v>
      </c>
      <c r="AL18" s="5">
        <f t="shared" si="1"/>
        <v>0</v>
      </c>
      <c r="AM18" s="5">
        <f t="shared" si="2"/>
        <v>0</v>
      </c>
      <c r="AN18" s="5">
        <f t="shared" si="3"/>
        <v>0</v>
      </c>
      <c r="AO18" s="5">
        <f t="shared" si="4"/>
        <v>0</v>
      </c>
      <c r="AP18" s="5">
        <f t="shared" si="5"/>
        <v>0</v>
      </c>
    </row>
    <row r="19" spans="6:42" ht="14.5" x14ac:dyDescent="0.35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f t="shared" si="0"/>
        <v>31</v>
      </c>
      <c r="AL19" s="5">
        <f t="shared" si="1"/>
        <v>0</v>
      </c>
      <c r="AM19" s="5">
        <f t="shared" si="2"/>
        <v>0</v>
      </c>
      <c r="AN19" s="5">
        <f t="shared" si="3"/>
        <v>0</v>
      </c>
      <c r="AO19" s="5">
        <f t="shared" si="4"/>
        <v>0</v>
      </c>
      <c r="AP19" s="5">
        <f t="shared" si="5"/>
        <v>0</v>
      </c>
    </row>
    <row r="20" spans="6:42" ht="14.5" x14ac:dyDescent="0.3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f t="shared" si="0"/>
        <v>31</v>
      </c>
      <c r="AL20" s="5">
        <f t="shared" si="1"/>
        <v>0</v>
      </c>
      <c r="AM20" s="5">
        <f t="shared" si="2"/>
        <v>0</v>
      </c>
      <c r="AN20" s="5">
        <f t="shared" si="3"/>
        <v>0</v>
      </c>
      <c r="AO20" s="5">
        <f t="shared" si="4"/>
        <v>0</v>
      </c>
      <c r="AP20" s="5">
        <f t="shared" si="5"/>
        <v>0</v>
      </c>
    </row>
    <row r="21" spans="6:42" ht="15.75" customHeight="1" x14ac:dyDescent="0.35"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f t="shared" si="0"/>
        <v>31</v>
      </c>
      <c r="AL21" s="5">
        <f t="shared" si="1"/>
        <v>0</v>
      </c>
      <c r="AM21" s="5">
        <f t="shared" si="2"/>
        <v>0</v>
      </c>
      <c r="AN21" s="5">
        <f t="shared" si="3"/>
        <v>0</v>
      </c>
      <c r="AO21" s="5">
        <f t="shared" si="4"/>
        <v>0</v>
      </c>
      <c r="AP21" s="5">
        <f t="shared" si="5"/>
        <v>0</v>
      </c>
    </row>
    <row r="22" spans="6:42" ht="15.75" customHeight="1" x14ac:dyDescent="0.35"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f t="shared" si="0"/>
        <v>31</v>
      </c>
      <c r="AL22" s="5">
        <f t="shared" si="1"/>
        <v>0</v>
      </c>
      <c r="AM22" s="5">
        <f t="shared" si="2"/>
        <v>0</v>
      </c>
      <c r="AN22" s="5">
        <f t="shared" si="3"/>
        <v>0</v>
      </c>
      <c r="AO22" s="5">
        <f t="shared" si="4"/>
        <v>0</v>
      </c>
      <c r="AP22" s="5">
        <f t="shared" si="5"/>
        <v>0</v>
      </c>
    </row>
    <row r="23" spans="6:42" ht="15.75" customHeight="1" x14ac:dyDescent="0.35"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f t="shared" si="0"/>
        <v>31</v>
      </c>
      <c r="AL23" s="5">
        <f t="shared" si="1"/>
        <v>0</v>
      </c>
      <c r="AM23" s="5">
        <f t="shared" si="2"/>
        <v>0</v>
      </c>
      <c r="AN23" s="5">
        <f t="shared" si="3"/>
        <v>0</v>
      </c>
      <c r="AO23" s="5">
        <f t="shared" si="4"/>
        <v>0</v>
      </c>
      <c r="AP23" s="5">
        <f t="shared" si="5"/>
        <v>0</v>
      </c>
    </row>
    <row r="24" spans="6:42" ht="15.75" customHeight="1" x14ac:dyDescent="0.35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f t="shared" si="0"/>
        <v>31</v>
      </c>
      <c r="AL24" s="5">
        <f t="shared" si="1"/>
        <v>0</v>
      </c>
      <c r="AM24" s="5">
        <f t="shared" si="2"/>
        <v>0</v>
      </c>
      <c r="AN24" s="5">
        <f t="shared" si="3"/>
        <v>0</v>
      </c>
      <c r="AO24" s="5">
        <f t="shared" si="4"/>
        <v>0</v>
      </c>
      <c r="AP24" s="5">
        <f t="shared" si="5"/>
        <v>0</v>
      </c>
    </row>
    <row r="25" spans="6:42" ht="15.75" customHeight="1" x14ac:dyDescent="0.35"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f t="shared" si="0"/>
        <v>31</v>
      </c>
      <c r="AL25" s="5">
        <f t="shared" si="1"/>
        <v>0</v>
      </c>
      <c r="AM25" s="5">
        <f t="shared" si="2"/>
        <v>0</v>
      </c>
      <c r="AN25" s="5">
        <f t="shared" si="3"/>
        <v>0</v>
      </c>
      <c r="AO25" s="5">
        <f t="shared" si="4"/>
        <v>0</v>
      </c>
      <c r="AP25" s="5">
        <f t="shared" si="5"/>
        <v>0</v>
      </c>
    </row>
    <row r="26" spans="6:42" ht="15.75" customHeight="1" x14ac:dyDescent="0.35"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>
        <f t="shared" si="0"/>
        <v>31</v>
      </c>
      <c r="AL26" s="5">
        <f t="shared" si="1"/>
        <v>0</v>
      </c>
      <c r="AM26" s="5">
        <f t="shared" si="2"/>
        <v>0</v>
      </c>
      <c r="AN26" s="5">
        <f t="shared" si="3"/>
        <v>0</v>
      </c>
      <c r="AO26" s="5">
        <f t="shared" si="4"/>
        <v>0</v>
      </c>
      <c r="AP26" s="5">
        <f t="shared" si="5"/>
        <v>0</v>
      </c>
    </row>
    <row r="27" spans="6:42" ht="15.75" customHeight="1" x14ac:dyDescent="0.35"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>
        <f t="shared" si="0"/>
        <v>31</v>
      </c>
      <c r="AL27" s="5">
        <f t="shared" si="1"/>
        <v>0</v>
      </c>
      <c r="AM27" s="5">
        <f t="shared" si="2"/>
        <v>0</v>
      </c>
      <c r="AN27" s="5">
        <f t="shared" si="3"/>
        <v>0</v>
      </c>
      <c r="AO27" s="5">
        <f t="shared" si="4"/>
        <v>0</v>
      </c>
      <c r="AP27" s="5">
        <f t="shared" si="5"/>
        <v>0</v>
      </c>
    </row>
    <row r="28" spans="6:42" ht="15.75" customHeight="1" x14ac:dyDescent="0.35"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>
        <f t="shared" si="0"/>
        <v>31</v>
      </c>
      <c r="AL28" s="5">
        <f t="shared" si="1"/>
        <v>0</v>
      </c>
      <c r="AM28" s="5">
        <f t="shared" si="2"/>
        <v>0</v>
      </c>
      <c r="AN28" s="5">
        <f t="shared" si="3"/>
        <v>0</v>
      </c>
      <c r="AO28" s="5">
        <f t="shared" si="4"/>
        <v>0</v>
      </c>
      <c r="AP28" s="5">
        <f t="shared" si="5"/>
        <v>0</v>
      </c>
    </row>
    <row r="29" spans="6:42" ht="15.75" customHeight="1" x14ac:dyDescent="0.35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f t="shared" si="0"/>
        <v>31</v>
      </c>
      <c r="AL29" s="5">
        <f t="shared" si="1"/>
        <v>0</v>
      </c>
      <c r="AM29" s="5">
        <f t="shared" si="2"/>
        <v>0</v>
      </c>
      <c r="AN29" s="5">
        <f t="shared" si="3"/>
        <v>0</v>
      </c>
      <c r="AO29" s="5">
        <f t="shared" si="4"/>
        <v>0</v>
      </c>
      <c r="AP29" s="5">
        <f t="shared" si="5"/>
        <v>0</v>
      </c>
    </row>
    <row r="30" spans="6:42" ht="15.75" customHeight="1" x14ac:dyDescent="0.35"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>
        <f t="shared" si="0"/>
        <v>31</v>
      </c>
      <c r="AL30" s="5">
        <f t="shared" si="1"/>
        <v>0</v>
      </c>
      <c r="AM30" s="5">
        <f t="shared" si="2"/>
        <v>0</v>
      </c>
      <c r="AN30" s="5">
        <f t="shared" si="3"/>
        <v>0</v>
      </c>
      <c r="AO30" s="5">
        <f t="shared" si="4"/>
        <v>0</v>
      </c>
      <c r="AP30" s="5">
        <f t="shared" si="5"/>
        <v>0</v>
      </c>
    </row>
    <row r="31" spans="6:42" ht="15.75" customHeight="1" x14ac:dyDescent="0.35"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f t="shared" si="0"/>
        <v>31</v>
      </c>
      <c r="AL31" s="5">
        <f t="shared" si="1"/>
        <v>0</v>
      </c>
      <c r="AM31" s="5">
        <f t="shared" si="2"/>
        <v>0</v>
      </c>
      <c r="AN31" s="5">
        <f t="shared" si="3"/>
        <v>0</v>
      </c>
      <c r="AO31" s="5">
        <f t="shared" si="4"/>
        <v>0</v>
      </c>
      <c r="AP31" s="5">
        <f t="shared" si="5"/>
        <v>0</v>
      </c>
    </row>
    <row r="32" spans="6:42" ht="15.75" customHeight="1" x14ac:dyDescent="0.35"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>
        <f t="shared" si="0"/>
        <v>31</v>
      </c>
      <c r="AL32" s="5">
        <f t="shared" si="1"/>
        <v>0</v>
      </c>
      <c r="AM32" s="5">
        <f t="shared" si="2"/>
        <v>0</v>
      </c>
      <c r="AN32" s="5">
        <f t="shared" si="3"/>
        <v>0</v>
      </c>
      <c r="AO32" s="5">
        <f t="shared" si="4"/>
        <v>0</v>
      </c>
      <c r="AP32" s="5">
        <f t="shared" si="5"/>
        <v>0</v>
      </c>
    </row>
    <row r="33" spans="6:42" ht="15.75" customHeight="1" x14ac:dyDescent="0.35"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f t="shared" si="0"/>
        <v>31</v>
      </c>
      <c r="AL33" s="5">
        <f t="shared" si="1"/>
        <v>0</v>
      </c>
      <c r="AM33" s="5">
        <f t="shared" si="2"/>
        <v>0</v>
      </c>
      <c r="AN33" s="5">
        <f t="shared" si="3"/>
        <v>0</v>
      </c>
      <c r="AO33" s="5">
        <f t="shared" si="4"/>
        <v>0</v>
      </c>
      <c r="AP33" s="5">
        <f t="shared" si="5"/>
        <v>0</v>
      </c>
    </row>
    <row r="34" spans="6:42" ht="15.75" customHeight="1" x14ac:dyDescent="0.35"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f t="shared" si="0"/>
        <v>31</v>
      </c>
      <c r="AL34" s="5">
        <f t="shared" si="1"/>
        <v>0</v>
      </c>
      <c r="AM34" s="5">
        <f t="shared" si="2"/>
        <v>0</v>
      </c>
      <c r="AN34" s="5">
        <f t="shared" si="3"/>
        <v>0</v>
      </c>
      <c r="AO34" s="5">
        <f t="shared" si="4"/>
        <v>0</v>
      </c>
      <c r="AP34" s="5">
        <f t="shared" si="5"/>
        <v>0</v>
      </c>
    </row>
    <row r="35" spans="6:42" ht="15.75" customHeight="1" x14ac:dyDescent="0.35"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>
        <f t="shared" si="0"/>
        <v>31</v>
      </c>
      <c r="AL35" s="5">
        <f t="shared" si="1"/>
        <v>0</v>
      </c>
      <c r="AM35" s="5">
        <f t="shared" si="2"/>
        <v>0</v>
      </c>
      <c r="AN35" s="5">
        <f t="shared" si="3"/>
        <v>0</v>
      </c>
      <c r="AO35" s="5">
        <f t="shared" si="4"/>
        <v>0</v>
      </c>
      <c r="AP35" s="5">
        <f t="shared" si="5"/>
        <v>0</v>
      </c>
    </row>
    <row r="36" spans="6:42" ht="15.75" customHeight="1" x14ac:dyDescent="0.35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>
        <f t="shared" si="0"/>
        <v>31</v>
      </c>
      <c r="AL36" s="5">
        <f t="shared" si="1"/>
        <v>0</v>
      </c>
      <c r="AM36" s="5">
        <f t="shared" si="2"/>
        <v>0</v>
      </c>
      <c r="AN36" s="5">
        <f t="shared" si="3"/>
        <v>0</v>
      </c>
      <c r="AO36" s="5">
        <f t="shared" si="4"/>
        <v>0</v>
      </c>
      <c r="AP36" s="5">
        <f t="shared" si="5"/>
        <v>0</v>
      </c>
    </row>
    <row r="37" spans="6:42" ht="15.75" customHeight="1" x14ac:dyDescent="0.35"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f t="shared" si="0"/>
        <v>31</v>
      </c>
      <c r="AL37" s="5">
        <f t="shared" si="1"/>
        <v>0</v>
      </c>
      <c r="AM37" s="5">
        <f t="shared" si="2"/>
        <v>0</v>
      </c>
      <c r="AN37" s="5">
        <f t="shared" si="3"/>
        <v>0</v>
      </c>
      <c r="AO37" s="5">
        <f t="shared" si="4"/>
        <v>0</v>
      </c>
      <c r="AP37" s="5">
        <f t="shared" si="5"/>
        <v>0</v>
      </c>
    </row>
    <row r="38" spans="6:42" ht="15.75" customHeight="1" x14ac:dyDescent="0.35"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f t="shared" si="0"/>
        <v>31</v>
      </c>
      <c r="AL38" s="5">
        <f t="shared" si="1"/>
        <v>0</v>
      </c>
      <c r="AM38" s="5">
        <f t="shared" si="2"/>
        <v>0</v>
      </c>
      <c r="AN38" s="5">
        <f t="shared" si="3"/>
        <v>0</v>
      </c>
      <c r="AO38" s="5">
        <f t="shared" si="4"/>
        <v>0</v>
      </c>
      <c r="AP38" s="5">
        <f t="shared" si="5"/>
        <v>0</v>
      </c>
    </row>
    <row r="39" spans="6:42" ht="15.75" customHeight="1" x14ac:dyDescent="0.35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f t="shared" si="0"/>
        <v>31</v>
      </c>
      <c r="AL39" s="5">
        <f t="shared" si="1"/>
        <v>0</v>
      </c>
      <c r="AM39" s="5">
        <f t="shared" si="2"/>
        <v>0</v>
      </c>
      <c r="AN39" s="5">
        <f t="shared" si="3"/>
        <v>0</v>
      </c>
      <c r="AO39" s="5">
        <f t="shared" si="4"/>
        <v>0</v>
      </c>
      <c r="AP39" s="5">
        <f t="shared" si="5"/>
        <v>0</v>
      </c>
    </row>
    <row r="40" spans="6:42" ht="15.75" customHeight="1" x14ac:dyDescent="0.35"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f t="shared" si="0"/>
        <v>31</v>
      </c>
      <c r="AL40" s="5">
        <f t="shared" si="1"/>
        <v>0</v>
      </c>
      <c r="AM40" s="5">
        <f t="shared" si="2"/>
        <v>0</v>
      </c>
      <c r="AN40" s="5">
        <f t="shared" si="3"/>
        <v>0</v>
      </c>
      <c r="AO40" s="5">
        <f t="shared" si="4"/>
        <v>0</v>
      </c>
      <c r="AP40" s="5">
        <f t="shared" si="5"/>
        <v>0</v>
      </c>
    </row>
    <row r="41" spans="6:42" ht="15.75" customHeight="1" x14ac:dyDescent="0.35"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>
        <f t="shared" si="0"/>
        <v>31</v>
      </c>
      <c r="AL41" s="5">
        <f t="shared" si="1"/>
        <v>0</v>
      </c>
      <c r="AM41" s="5">
        <f t="shared" si="2"/>
        <v>0</v>
      </c>
      <c r="AN41" s="5">
        <f t="shared" si="3"/>
        <v>0</v>
      </c>
      <c r="AO41" s="5">
        <f t="shared" si="4"/>
        <v>0</v>
      </c>
      <c r="AP41" s="5">
        <f t="shared" si="5"/>
        <v>0</v>
      </c>
    </row>
    <row r="42" spans="6:42" ht="15.75" customHeight="1" x14ac:dyDescent="0.35"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f t="shared" si="0"/>
        <v>31</v>
      </c>
      <c r="AL42" s="5">
        <f t="shared" si="1"/>
        <v>0</v>
      </c>
      <c r="AM42" s="5">
        <f t="shared" si="2"/>
        <v>0</v>
      </c>
      <c r="AN42" s="5">
        <f t="shared" si="3"/>
        <v>0</v>
      </c>
      <c r="AO42" s="5">
        <f t="shared" si="4"/>
        <v>0</v>
      </c>
      <c r="AP42" s="5">
        <f t="shared" si="5"/>
        <v>0</v>
      </c>
    </row>
    <row r="43" spans="6:42" ht="15.75" customHeight="1" x14ac:dyDescent="0.35"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>
        <f t="shared" si="0"/>
        <v>31</v>
      </c>
      <c r="AL43" s="5">
        <f t="shared" si="1"/>
        <v>0</v>
      </c>
      <c r="AM43" s="5">
        <f t="shared" si="2"/>
        <v>0</v>
      </c>
      <c r="AN43" s="5">
        <f t="shared" si="3"/>
        <v>0</v>
      </c>
      <c r="AO43" s="5">
        <f t="shared" si="4"/>
        <v>0</v>
      </c>
      <c r="AP43" s="5">
        <f t="shared" si="5"/>
        <v>0</v>
      </c>
    </row>
    <row r="44" spans="6:42" ht="15.75" customHeight="1" x14ac:dyDescent="0.35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f t="shared" si="0"/>
        <v>31</v>
      </c>
      <c r="AL44" s="5">
        <f t="shared" si="1"/>
        <v>0</v>
      </c>
      <c r="AM44" s="5">
        <f t="shared" si="2"/>
        <v>0</v>
      </c>
      <c r="AN44" s="5">
        <f t="shared" si="3"/>
        <v>0</v>
      </c>
      <c r="AO44" s="5">
        <f t="shared" si="4"/>
        <v>0</v>
      </c>
      <c r="AP44" s="5">
        <f t="shared" si="5"/>
        <v>0</v>
      </c>
    </row>
    <row r="45" spans="6:42" ht="15.75" customHeight="1" x14ac:dyDescent="0.35"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f t="shared" si="0"/>
        <v>31</v>
      </c>
      <c r="AL45" s="5">
        <f t="shared" si="1"/>
        <v>0</v>
      </c>
      <c r="AM45" s="5">
        <f t="shared" si="2"/>
        <v>0</v>
      </c>
      <c r="AN45" s="5">
        <f t="shared" si="3"/>
        <v>0</v>
      </c>
      <c r="AO45" s="5">
        <f t="shared" si="4"/>
        <v>0</v>
      </c>
      <c r="AP45" s="5">
        <f t="shared" si="5"/>
        <v>0</v>
      </c>
    </row>
    <row r="46" spans="6:42" ht="15.75" customHeight="1" x14ac:dyDescent="0.35"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>
        <f t="shared" si="0"/>
        <v>31</v>
      </c>
      <c r="AL46" s="5">
        <f t="shared" si="1"/>
        <v>0</v>
      </c>
      <c r="AM46" s="5">
        <f t="shared" si="2"/>
        <v>0</v>
      </c>
      <c r="AN46" s="5">
        <f t="shared" si="3"/>
        <v>0</v>
      </c>
      <c r="AO46" s="5">
        <f t="shared" si="4"/>
        <v>0</v>
      </c>
      <c r="AP46" s="5">
        <f t="shared" si="5"/>
        <v>0</v>
      </c>
    </row>
    <row r="47" spans="6:42" ht="15.75" customHeight="1" x14ac:dyDescent="0.35"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f t="shared" si="0"/>
        <v>31</v>
      </c>
      <c r="AL47" s="5">
        <f t="shared" si="1"/>
        <v>0</v>
      </c>
      <c r="AM47" s="5">
        <f t="shared" si="2"/>
        <v>0</v>
      </c>
      <c r="AN47" s="5">
        <f t="shared" si="3"/>
        <v>0</v>
      </c>
      <c r="AO47" s="5">
        <f t="shared" si="4"/>
        <v>0</v>
      </c>
      <c r="AP47" s="5">
        <f t="shared" si="5"/>
        <v>0</v>
      </c>
    </row>
    <row r="48" spans="6:42" ht="15.75" customHeight="1" x14ac:dyDescent="0.35"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f t="shared" si="0"/>
        <v>31</v>
      </c>
      <c r="AL48" s="5">
        <f t="shared" si="1"/>
        <v>0</v>
      </c>
      <c r="AM48" s="5">
        <f t="shared" si="2"/>
        <v>0</v>
      </c>
      <c r="AN48" s="5">
        <f t="shared" si="3"/>
        <v>0</v>
      </c>
      <c r="AO48" s="5">
        <f t="shared" si="4"/>
        <v>0</v>
      </c>
      <c r="AP48" s="5">
        <f t="shared" si="5"/>
        <v>0</v>
      </c>
    </row>
    <row r="49" spans="6:42" ht="15.75" customHeight="1" x14ac:dyDescent="0.35"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>
        <f t="shared" si="0"/>
        <v>31</v>
      </c>
      <c r="AL49" s="5">
        <f t="shared" si="1"/>
        <v>0</v>
      </c>
      <c r="AM49" s="5">
        <f t="shared" si="2"/>
        <v>0</v>
      </c>
      <c r="AN49" s="5">
        <f t="shared" si="3"/>
        <v>0</v>
      </c>
      <c r="AO49" s="5">
        <f t="shared" si="4"/>
        <v>0</v>
      </c>
      <c r="AP49" s="5">
        <f t="shared" si="5"/>
        <v>0</v>
      </c>
    </row>
    <row r="50" spans="6:42" ht="15.75" customHeight="1" x14ac:dyDescent="0.35"/>
    <row r="51" spans="6:42" ht="15.75" customHeight="1" x14ac:dyDescent="0.35"/>
    <row r="52" spans="6:42" ht="15.75" customHeight="1" x14ac:dyDescent="0.35"/>
    <row r="53" spans="6:42" ht="15.75" customHeight="1" x14ac:dyDescent="0.35"/>
    <row r="54" spans="6:42" ht="15.75" customHeight="1" x14ac:dyDescent="0.35"/>
    <row r="55" spans="6:42" ht="15.75" customHeight="1" x14ac:dyDescent="0.35"/>
    <row r="56" spans="6:42" ht="15.75" customHeight="1" x14ac:dyDescent="0.35"/>
    <row r="57" spans="6:42" ht="15.75" customHeight="1" x14ac:dyDescent="0.35"/>
    <row r="58" spans="6:42" ht="15.75" customHeight="1" x14ac:dyDescent="0.35"/>
    <row r="59" spans="6:42" ht="15.75" customHeight="1" x14ac:dyDescent="0.35"/>
    <row r="60" spans="6:42" ht="15.75" customHeight="1" x14ac:dyDescent="0.35"/>
    <row r="61" spans="6:42" ht="15.75" customHeight="1" x14ac:dyDescent="0.35"/>
    <row r="62" spans="6:42" ht="15.75" customHeight="1" x14ac:dyDescent="0.35"/>
    <row r="63" spans="6:42" ht="15.75" customHeight="1" x14ac:dyDescent="0.35"/>
    <row r="64" spans="6:42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1">
    <dataValidation type="list" allowBlank="1" sqref="F2:AJ49" xr:uid="{00000000-0002-0000-0900-000000000000}">
      <formula1>"P,A,H,CL,SL"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1000"/>
  <sheetViews>
    <sheetView workbookViewId="0"/>
  </sheetViews>
  <sheetFormatPr defaultColWidth="14.453125" defaultRowHeight="15" customHeight="1" x14ac:dyDescent="0.35"/>
  <cols>
    <col min="1" max="42" width="8.7265625" customWidth="1"/>
  </cols>
  <sheetData>
    <row r="1" spans="1:4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5" x14ac:dyDescent="0.35"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f t="shared" ref="AK2:AK49" si="0">COUNTIF(F2:AJ2,"&lt;&gt;H")</f>
        <v>31</v>
      </c>
      <c r="AL2" s="5">
        <f t="shared" ref="AL2:AL49" si="1">COUNTIF(F2:AJ2,"P")</f>
        <v>0</v>
      </c>
      <c r="AM2" s="5">
        <f t="shared" ref="AM2:AM49" si="2">COUNTIF(F2:AJ2,"CL")</f>
        <v>0</v>
      </c>
      <c r="AN2" s="5">
        <f t="shared" ref="AN2:AN49" si="3">COUNTIF(F2:AJ2,"SL")</f>
        <v>0</v>
      </c>
      <c r="AO2" s="5">
        <f t="shared" ref="AO2:AO49" si="4">COUNTIF(F2:AJ2,"A")</f>
        <v>0</v>
      </c>
      <c r="AP2" s="5">
        <f t="shared" ref="AP2:AP49" si="5">(D2/AK2)*AL2</f>
        <v>0</v>
      </c>
    </row>
    <row r="3" spans="1:42" ht="14.5" x14ac:dyDescent="0.35"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f t="shared" si="0"/>
        <v>31</v>
      </c>
      <c r="AL3" s="5">
        <f t="shared" si="1"/>
        <v>0</v>
      </c>
      <c r="AM3" s="5">
        <f t="shared" si="2"/>
        <v>0</v>
      </c>
      <c r="AN3" s="5">
        <f t="shared" si="3"/>
        <v>0</v>
      </c>
      <c r="AO3" s="5">
        <f t="shared" si="4"/>
        <v>0</v>
      </c>
      <c r="AP3" s="5">
        <f t="shared" si="5"/>
        <v>0</v>
      </c>
    </row>
    <row r="4" spans="1:42" ht="14.5" x14ac:dyDescent="0.35"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f t="shared" si="0"/>
        <v>31</v>
      </c>
      <c r="AL4" s="5">
        <f t="shared" si="1"/>
        <v>0</v>
      </c>
      <c r="AM4" s="5">
        <f t="shared" si="2"/>
        <v>0</v>
      </c>
      <c r="AN4" s="5">
        <f t="shared" si="3"/>
        <v>0</v>
      </c>
      <c r="AO4" s="5">
        <f t="shared" si="4"/>
        <v>0</v>
      </c>
      <c r="AP4" s="5">
        <f t="shared" si="5"/>
        <v>0</v>
      </c>
    </row>
    <row r="5" spans="1:42" ht="14.5" x14ac:dyDescent="0.35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f t="shared" si="0"/>
        <v>31</v>
      </c>
      <c r="AL5" s="5">
        <f t="shared" si="1"/>
        <v>0</v>
      </c>
      <c r="AM5" s="5">
        <f t="shared" si="2"/>
        <v>0</v>
      </c>
      <c r="AN5" s="5">
        <f t="shared" si="3"/>
        <v>0</v>
      </c>
      <c r="AO5" s="5">
        <f t="shared" si="4"/>
        <v>0</v>
      </c>
      <c r="AP5" s="5">
        <f t="shared" si="5"/>
        <v>0</v>
      </c>
    </row>
    <row r="6" spans="1:42" ht="14.5" x14ac:dyDescent="0.35"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f t="shared" si="0"/>
        <v>31</v>
      </c>
      <c r="AL6" s="5">
        <f t="shared" si="1"/>
        <v>0</v>
      </c>
      <c r="AM6" s="5">
        <f t="shared" si="2"/>
        <v>0</v>
      </c>
      <c r="AN6" s="5">
        <f t="shared" si="3"/>
        <v>0</v>
      </c>
      <c r="AO6" s="5">
        <f t="shared" si="4"/>
        <v>0</v>
      </c>
      <c r="AP6" s="5">
        <f t="shared" si="5"/>
        <v>0</v>
      </c>
    </row>
    <row r="7" spans="1:42" ht="14.5" x14ac:dyDescent="0.35"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f t="shared" si="0"/>
        <v>31</v>
      </c>
      <c r="AL7" s="5">
        <f t="shared" si="1"/>
        <v>0</v>
      </c>
      <c r="AM7" s="5">
        <f t="shared" si="2"/>
        <v>0</v>
      </c>
      <c r="AN7" s="5">
        <f t="shared" si="3"/>
        <v>0</v>
      </c>
      <c r="AO7" s="5">
        <f t="shared" si="4"/>
        <v>0</v>
      </c>
      <c r="AP7" s="5">
        <f t="shared" si="5"/>
        <v>0</v>
      </c>
    </row>
    <row r="8" spans="1:42" ht="14.5" x14ac:dyDescent="0.35"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f t="shared" si="0"/>
        <v>31</v>
      </c>
      <c r="AL8" s="5">
        <f t="shared" si="1"/>
        <v>0</v>
      </c>
      <c r="AM8" s="5">
        <f t="shared" si="2"/>
        <v>0</v>
      </c>
      <c r="AN8" s="5">
        <f t="shared" si="3"/>
        <v>0</v>
      </c>
      <c r="AO8" s="5">
        <f t="shared" si="4"/>
        <v>0</v>
      </c>
      <c r="AP8" s="5">
        <f t="shared" si="5"/>
        <v>0</v>
      </c>
    </row>
    <row r="9" spans="1:42" ht="14.5" x14ac:dyDescent="0.35"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f t="shared" si="0"/>
        <v>31</v>
      </c>
      <c r="AL9" s="5">
        <f t="shared" si="1"/>
        <v>0</v>
      </c>
      <c r="AM9" s="5">
        <f t="shared" si="2"/>
        <v>0</v>
      </c>
      <c r="AN9" s="5">
        <f t="shared" si="3"/>
        <v>0</v>
      </c>
      <c r="AO9" s="5">
        <f t="shared" si="4"/>
        <v>0</v>
      </c>
      <c r="AP9" s="5">
        <f t="shared" si="5"/>
        <v>0</v>
      </c>
    </row>
    <row r="10" spans="1:42" ht="14.5" x14ac:dyDescent="0.35"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f t="shared" si="0"/>
        <v>31</v>
      </c>
      <c r="AL10" s="5">
        <f t="shared" si="1"/>
        <v>0</v>
      </c>
      <c r="AM10" s="5">
        <f t="shared" si="2"/>
        <v>0</v>
      </c>
      <c r="AN10" s="5">
        <f t="shared" si="3"/>
        <v>0</v>
      </c>
      <c r="AO10" s="5">
        <f t="shared" si="4"/>
        <v>0</v>
      </c>
      <c r="AP10" s="5">
        <f t="shared" si="5"/>
        <v>0</v>
      </c>
    </row>
    <row r="11" spans="1:42" ht="14.5" x14ac:dyDescent="0.35"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f t="shared" si="0"/>
        <v>31</v>
      </c>
      <c r="AL11" s="5">
        <f t="shared" si="1"/>
        <v>0</v>
      </c>
      <c r="AM11" s="5">
        <f t="shared" si="2"/>
        <v>0</v>
      </c>
      <c r="AN11" s="5">
        <f t="shared" si="3"/>
        <v>0</v>
      </c>
      <c r="AO11" s="5">
        <f t="shared" si="4"/>
        <v>0</v>
      </c>
      <c r="AP11" s="5">
        <f t="shared" si="5"/>
        <v>0</v>
      </c>
    </row>
    <row r="12" spans="1:42" ht="14.5" x14ac:dyDescent="0.35"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f t="shared" si="0"/>
        <v>31</v>
      </c>
      <c r="AL12" s="5">
        <f t="shared" si="1"/>
        <v>0</v>
      </c>
      <c r="AM12" s="5">
        <f t="shared" si="2"/>
        <v>0</v>
      </c>
      <c r="AN12" s="5">
        <f t="shared" si="3"/>
        <v>0</v>
      </c>
      <c r="AO12" s="5">
        <f t="shared" si="4"/>
        <v>0</v>
      </c>
      <c r="AP12" s="5">
        <f t="shared" si="5"/>
        <v>0</v>
      </c>
    </row>
    <row r="13" spans="1:42" ht="14.5" x14ac:dyDescent="0.35"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f t="shared" si="0"/>
        <v>31</v>
      </c>
      <c r="AL13" s="5">
        <f t="shared" si="1"/>
        <v>0</v>
      </c>
      <c r="AM13" s="5">
        <f t="shared" si="2"/>
        <v>0</v>
      </c>
      <c r="AN13" s="5">
        <f t="shared" si="3"/>
        <v>0</v>
      </c>
      <c r="AO13" s="5">
        <f t="shared" si="4"/>
        <v>0</v>
      </c>
      <c r="AP13" s="5">
        <f t="shared" si="5"/>
        <v>0</v>
      </c>
    </row>
    <row r="14" spans="1:42" ht="14.5" x14ac:dyDescent="0.35"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f t="shared" si="0"/>
        <v>31</v>
      </c>
      <c r="AL14" s="5">
        <f t="shared" si="1"/>
        <v>0</v>
      </c>
      <c r="AM14" s="5">
        <f t="shared" si="2"/>
        <v>0</v>
      </c>
      <c r="AN14" s="5">
        <f t="shared" si="3"/>
        <v>0</v>
      </c>
      <c r="AO14" s="5">
        <f t="shared" si="4"/>
        <v>0</v>
      </c>
      <c r="AP14" s="5">
        <f t="shared" si="5"/>
        <v>0</v>
      </c>
    </row>
    <row r="15" spans="1:42" ht="14.5" x14ac:dyDescent="0.35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f t="shared" si="0"/>
        <v>31</v>
      </c>
      <c r="AL15" s="5">
        <f t="shared" si="1"/>
        <v>0</v>
      </c>
      <c r="AM15" s="5">
        <f t="shared" si="2"/>
        <v>0</v>
      </c>
      <c r="AN15" s="5">
        <f t="shared" si="3"/>
        <v>0</v>
      </c>
      <c r="AO15" s="5">
        <f t="shared" si="4"/>
        <v>0</v>
      </c>
      <c r="AP15" s="5">
        <f t="shared" si="5"/>
        <v>0</v>
      </c>
    </row>
    <row r="16" spans="1:42" ht="14.5" x14ac:dyDescent="0.3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f t="shared" si="0"/>
        <v>31</v>
      </c>
      <c r="AL16" s="5">
        <f t="shared" si="1"/>
        <v>0</v>
      </c>
      <c r="AM16" s="5">
        <f t="shared" si="2"/>
        <v>0</v>
      </c>
      <c r="AN16" s="5">
        <f t="shared" si="3"/>
        <v>0</v>
      </c>
      <c r="AO16" s="5">
        <f t="shared" si="4"/>
        <v>0</v>
      </c>
      <c r="AP16" s="5">
        <f t="shared" si="5"/>
        <v>0</v>
      </c>
    </row>
    <row r="17" spans="6:42" ht="14.5" x14ac:dyDescent="0.3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f t="shared" si="0"/>
        <v>31</v>
      </c>
      <c r="AL17" s="5">
        <f t="shared" si="1"/>
        <v>0</v>
      </c>
      <c r="AM17" s="5">
        <f t="shared" si="2"/>
        <v>0</v>
      </c>
      <c r="AN17" s="5">
        <f t="shared" si="3"/>
        <v>0</v>
      </c>
      <c r="AO17" s="5">
        <f t="shared" si="4"/>
        <v>0</v>
      </c>
      <c r="AP17" s="5">
        <f t="shared" si="5"/>
        <v>0</v>
      </c>
    </row>
    <row r="18" spans="6:42" ht="14.5" x14ac:dyDescent="0.3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f t="shared" si="0"/>
        <v>31</v>
      </c>
      <c r="AL18" s="5">
        <f t="shared" si="1"/>
        <v>0</v>
      </c>
      <c r="AM18" s="5">
        <f t="shared" si="2"/>
        <v>0</v>
      </c>
      <c r="AN18" s="5">
        <f t="shared" si="3"/>
        <v>0</v>
      </c>
      <c r="AO18" s="5">
        <f t="shared" si="4"/>
        <v>0</v>
      </c>
      <c r="AP18" s="5">
        <f t="shared" si="5"/>
        <v>0</v>
      </c>
    </row>
    <row r="19" spans="6:42" ht="14.5" x14ac:dyDescent="0.35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f t="shared" si="0"/>
        <v>31</v>
      </c>
      <c r="AL19" s="5">
        <f t="shared" si="1"/>
        <v>0</v>
      </c>
      <c r="AM19" s="5">
        <f t="shared" si="2"/>
        <v>0</v>
      </c>
      <c r="AN19" s="5">
        <f t="shared" si="3"/>
        <v>0</v>
      </c>
      <c r="AO19" s="5">
        <f t="shared" si="4"/>
        <v>0</v>
      </c>
      <c r="AP19" s="5">
        <f t="shared" si="5"/>
        <v>0</v>
      </c>
    </row>
    <row r="20" spans="6:42" ht="14.5" x14ac:dyDescent="0.3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f t="shared" si="0"/>
        <v>31</v>
      </c>
      <c r="AL20" s="5">
        <f t="shared" si="1"/>
        <v>0</v>
      </c>
      <c r="AM20" s="5">
        <f t="shared" si="2"/>
        <v>0</v>
      </c>
      <c r="AN20" s="5">
        <f t="shared" si="3"/>
        <v>0</v>
      </c>
      <c r="AO20" s="5">
        <f t="shared" si="4"/>
        <v>0</v>
      </c>
      <c r="AP20" s="5">
        <f t="shared" si="5"/>
        <v>0</v>
      </c>
    </row>
    <row r="21" spans="6:42" ht="15.75" customHeight="1" x14ac:dyDescent="0.35"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f t="shared" si="0"/>
        <v>31</v>
      </c>
      <c r="AL21" s="5">
        <f t="shared" si="1"/>
        <v>0</v>
      </c>
      <c r="AM21" s="5">
        <f t="shared" si="2"/>
        <v>0</v>
      </c>
      <c r="AN21" s="5">
        <f t="shared" si="3"/>
        <v>0</v>
      </c>
      <c r="AO21" s="5">
        <f t="shared" si="4"/>
        <v>0</v>
      </c>
      <c r="AP21" s="5">
        <f t="shared" si="5"/>
        <v>0</v>
      </c>
    </row>
    <row r="22" spans="6:42" ht="15.75" customHeight="1" x14ac:dyDescent="0.35"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f t="shared" si="0"/>
        <v>31</v>
      </c>
      <c r="AL22" s="5">
        <f t="shared" si="1"/>
        <v>0</v>
      </c>
      <c r="AM22" s="5">
        <f t="shared" si="2"/>
        <v>0</v>
      </c>
      <c r="AN22" s="5">
        <f t="shared" si="3"/>
        <v>0</v>
      </c>
      <c r="AO22" s="5">
        <f t="shared" si="4"/>
        <v>0</v>
      </c>
      <c r="AP22" s="5">
        <f t="shared" si="5"/>
        <v>0</v>
      </c>
    </row>
    <row r="23" spans="6:42" ht="15.75" customHeight="1" x14ac:dyDescent="0.35"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f t="shared" si="0"/>
        <v>31</v>
      </c>
      <c r="AL23" s="5">
        <f t="shared" si="1"/>
        <v>0</v>
      </c>
      <c r="AM23" s="5">
        <f t="shared" si="2"/>
        <v>0</v>
      </c>
      <c r="AN23" s="5">
        <f t="shared" si="3"/>
        <v>0</v>
      </c>
      <c r="AO23" s="5">
        <f t="shared" si="4"/>
        <v>0</v>
      </c>
      <c r="AP23" s="5">
        <f t="shared" si="5"/>
        <v>0</v>
      </c>
    </row>
    <row r="24" spans="6:42" ht="15.75" customHeight="1" x14ac:dyDescent="0.35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f t="shared" si="0"/>
        <v>31</v>
      </c>
      <c r="AL24" s="5">
        <f t="shared" si="1"/>
        <v>0</v>
      </c>
      <c r="AM24" s="5">
        <f t="shared" si="2"/>
        <v>0</v>
      </c>
      <c r="AN24" s="5">
        <f t="shared" si="3"/>
        <v>0</v>
      </c>
      <c r="AO24" s="5">
        <f t="shared" si="4"/>
        <v>0</v>
      </c>
      <c r="AP24" s="5">
        <f t="shared" si="5"/>
        <v>0</v>
      </c>
    </row>
    <row r="25" spans="6:42" ht="15.75" customHeight="1" x14ac:dyDescent="0.35"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f t="shared" si="0"/>
        <v>31</v>
      </c>
      <c r="AL25" s="5">
        <f t="shared" si="1"/>
        <v>0</v>
      </c>
      <c r="AM25" s="5">
        <f t="shared" si="2"/>
        <v>0</v>
      </c>
      <c r="AN25" s="5">
        <f t="shared" si="3"/>
        <v>0</v>
      </c>
      <c r="AO25" s="5">
        <f t="shared" si="4"/>
        <v>0</v>
      </c>
      <c r="AP25" s="5">
        <f t="shared" si="5"/>
        <v>0</v>
      </c>
    </row>
    <row r="26" spans="6:42" ht="15.75" customHeight="1" x14ac:dyDescent="0.35"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>
        <f t="shared" si="0"/>
        <v>31</v>
      </c>
      <c r="AL26" s="5">
        <f t="shared" si="1"/>
        <v>0</v>
      </c>
      <c r="AM26" s="5">
        <f t="shared" si="2"/>
        <v>0</v>
      </c>
      <c r="AN26" s="5">
        <f t="shared" si="3"/>
        <v>0</v>
      </c>
      <c r="AO26" s="5">
        <f t="shared" si="4"/>
        <v>0</v>
      </c>
      <c r="AP26" s="5">
        <f t="shared" si="5"/>
        <v>0</v>
      </c>
    </row>
    <row r="27" spans="6:42" ht="15.75" customHeight="1" x14ac:dyDescent="0.35"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>
        <f t="shared" si="0"/>
        <v>31</v>
      </c>
      <c r="AL27" s="5">
        <f t="shared" si="1"/>
        <v>0</v>
      </c>
      <c r="AM27" s="5">
        <f t="shared" si="2"/>
        <v>0</v>
      </c>
      <c r="AN27" s="5">
        <f t="shared" si="3"/>
        <v>0</v>
      </c>
      <c r="AO27" s="5">
        <f t="shared" si="4"/>
        <v>0</v>
      </c>
      <c r="AP27" s="5">
        <f t="shared" si="5"/>
        <v>0</v>
      </c>
    </row>
    <row r="28" spans="6:42" ht="15.75" customHeight="1" x14ac:dyDescent="0.35"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>
        <f t="shared" si="0"/>
        <v>31</v>
      </c>
      <c r="AL28" s="5">
        <f t="shared" si="1"/>
        <v>0</v>
      </c>
      <c r="AM28" s="5">
        <f t="shared" si="2"/>
        <v>0</v>
      </c>
      <c r="AN28" s="5">
        <f t="shared" si="3"/>
        <v>0</v>
      </c>
      <c r="AO28" s="5">
        <f t="shared" si="4"/>
        <v>0</v>
      </c>
      <c r="AP28" s="5">
        <f t="shared" si="5"/>
        <v>0</v>
      </c>
    </row>
    <row r="29" spans="6:42" ht="15.75" customHeight="1" x14ac:dyDescent="0.35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f t="shared" si="0"/>
        <v>31</v>
      </c>
      <c r="AL29" s="5">
        <f t="shared" si="1"/>
        <v>0</v>
      </c>
      <c r="AM29" s="5">
        <f t="shared" si="2"/>
        <v>0</v>
      </c>
      <c r="AN29" s="5">
        <f t="shared" si="3"/>
        <v>0</v>
      </c>
      <c r="AO29" s="5">
        <f t="shared" si="4"/>
        <v>0</v>
      </c>
      <c r="AP29" s="5">
        <f t="shared" si="5"/>
        <v>0</v>
      </c>
    </row>
    <row r="30" spans="6:42" ht="15.75" customHeight="1" x14ac:dyDescent="0.35"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>
        <f t="shared" si="0"/>
        <v>31</v>
      </c>
      <c r="AL30" s="5">
        <f t="shared" si="1"/>
        <v>0</v>
      </c>
      <c r="AM30" s="5">
        <f t="shared" si="2"/>
        <v>0</v>
      </c>
      <c r="AN30" s="5">
        <f t="shared" si="3"/>
        <v>0</v>
      </c>
      <c r="AO30" s="5">
        <f t="shared" si="4"/>
        <v>0</v>
      </c>
      <c r="AP30" s="5">
        <f t="shared" si="5"/>
        <v>0</v>
      </c>
    </row>
    <row r="31" spans="6:42" ht="15.75" customHeight="1" x14ac:dyDescent="0.35"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f t="shared" si="0"/>
        <v>31</v>
      </c>
      <c r="AL31" s="5">
        <f t="shared" si="1"/>
        <v>0</v>
      </c>
      <c r="AM31" s="5">
        <f t="shared" si="2"/>
        <v>0</v>
      </c>
      <c r="AN31" s="5">
        <f t="shared" si="3"/>
        <v>0</v>
      </c>
      <c r="AO31" s="5">
        <f t="shared" si="4"/>
        <v>0</v>
      </c>
      <c r="AP31" s="5">
        <f t="shared" si="5"/>
        <v>0</v>
      </c>
    </row>
    <row r="32" spans="6:42" ht="15.75" customHeight="1" x14ac:dyDescent="0.35"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>
        <f t="shared" si="0"/>
        <v>31</v>
      </c>
      <c r="AL32" s="5">
        <f t="shared" si="1"/>
        <v>0</v>
      </c>
      <c r="AM32" s="5">
        <f t="shared" si="2"/>
        <v>0</v>
      </c>
      <c r="AN32" s="5">
        <f t="shared" si="3"/>
        <v>0</v>
      </c>
      <c r="AO32" s="5">
        <f t="shared" si="4"/>
        <v>0</v>
      </c>
      <c r="AP32" s="5">
        <f t="shared" si="5"/>
        <v>0</v>
      </c>
    </row>
    <row r="33" spans="6:42" ht="15.75" customHeight="1" x14ac:dyDescent="0.35"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f t="shared" si="0"/>
        <v>31</v>
      </c>
      <c r="AL33" s="5">
        <f t="shared" si="1"/>
        <v>0</v>
      </c>
      <c r="AM33" s="5">
        <f t="shared" si="2"/>
        <v>0</v>
      </c>
      <c r="AN33" s="5">
        <f t="shared" si="3"/>
        <v>0</v>
      </c>
      <c r="AO33" s="5">
        <f t="shared" si="4"/>
        <v>0</v>
      </c>
      <c r="AP33" s="5">
        <f t="shared" si="5"/>
        <v>0</v>
      </c>
    </row>
    <row r="34" spans="6:42" ht="15.75" customHeight="1" x14ac:dyDescent="0.35"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f t="shared" si="0"/>
        <v>31</v>
      </c>
      <c r="AL34" s="5">
        <f t="shared" si="1"/>
        <v>0</v>
      </c>
      <c r="AM34" s="5">
        <f t="shared" si="2"/>
        <v>0</v>
      </c>
      <c r="AN34" s="5">
        <f t="shared" si="3"/>
        <v>0</v>
      </c>
      <c r="AO34" s="5">
        <f t="shared" si="4"/>
        <v>0</v>
      </c>
      <c r="AP34" s="5">
        <f t="shared" si="5"/>
        <v>0</v>
      </c>
    </row>
    <row r="35" spans="6:42" ht="15.75" customHeight="1" x14ac:dyDescent="0.35"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>
        <f t="shared" si="0"/>
        <v>31</v>
      </c>
      <c r="AL35" s="5">
        <f t="shared" si="1"/>
        <v>0</v>
      </c>
      <c r="AM35" s="5">
        <f t="shared" si="2"/>
        <v>0</v>
      </c>
      <c r="AN35" s="5">
        <f t="shared" si="3"/>
        <v>0</v>
      </c>
      <c r="AO35" s="5">
        <f t="shared" si="4"/>
        <v>0</v>
      </c>
      <c r="AP35" s="5">
        <f t="shared" si="5"/>
        <v>0</v>
      </c>
    </row>
    <row r="36" spans="6:42" ht="15.75" customHeight="1" x14ac:dyDescent="0.35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>
        <f t="shared" si="0"/>
        <v>31</v>
      </c>
      <c r="AL36" s="5">
        <f t="shared" si="1"/>
        <v>0</v>
      </c>
      <c r="AM36" s="5">
        <f t="shared" si="2"/>
        <v>0</v>
      </c>
      <c r="AN36" s="5">
        <f t="shared" si="3"/>
        <v>0</v>
      </c>
      <c r="AO36" s="5">
        <f t="shared" si="4"/>
        <v>0</v>
      </c>
      <c r="AP36" s="5">
        <f t="shared" si="5"/>
        <v>0</v>
      </c>
    </row>
    <row r="37" spans="6:42" ht="15.75" customHeight="1" x14ac:dyDescent="0.35"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f t="shared" si="0"/>
        <v>31</v>
      </c>
      <c r="AL37" s="5">
        <f t="shared" si="1"/>
        <v>0</v>
      </c>
      <c r="AM37" s="5">
        <f t="shared" si="2"/>
        <v>0</v>
      </c>
      <c r="AN37" s="5">
        <f t="shared" si="3"/>
        <v>0</v>
      </c>
      <c r="AO37" s="5">
        <f t="shared" si="4"/>
        <v>0</v>
      </c>
      <c r="AP37" s="5">
        <f t="shared" si="5"/>
        <v>0</v>
      </c>
    </row>
    <row r="38" spans="6:42" ht="15.75" customHeight="1" x14ac:dyDescent="0.35"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f t="shared" si="0"/>
        <v>31</v>
      </c>
      <c r="AL38" s="5">
        <f t="shared" si="1"/>
        <v>0</v>
      </c>
      <c r="AM38" s="5">
        <f t="shared" si="2"/>
        <v>0</v>
      </c>
      <c r="AN38" s="5">
        <f t="shared" si="3"/>
        <v>0</v>
      </c>
      <c r="AO38" s="5">
        <f t="shared" si="4"/>
        <v>0</v>
      </c>
      <c r="AP38" s="5">
        <f t="shared" si="5"/>
        <v>0</v>
      </c>
    </row>
    <row r="39" spans="6:42" ht="15.75" customHeight="1" x14ac:dyDescent="0.35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f t="shared" si="0"/>
        <v>31</v>
      </c>
      <c r="AL39" s="5">
        <f t="shared" si="1"/>
        <v>0</v>
      </c>
      <c r="AM39" s="5">
        <f t="shared" si="2"/>
        <v>0</v>
      </c>
      <c r="AN39" s="5">
        <f t="shared" si="3"/>
        <v>0</v>
      </c>
      <c r="AO39" s="5">
        <f t="shared" si="4"/>
        <v>0</v>
      </c>
      <c r="AP39" s="5">
        <f t="shared" si="5"/>
        <v>0</v>
      </c>
    </row>
    <row r="40" spans="6:42" ht="15.75" customHeight="1" x14ac:dyDescent="0.35"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f t="shared" si="0"/>
        <v>31</v>
      </c>
      <c r="AL40" s="5">
        <f t="shared" si="1"/>
        <v>0</v>
      </c>
      <c r="AM40" s="5">
        <f t="shared" si="2"/>
        <v>0</v>
      </c>
      <c r="AN40" s="5">
        <f t="shared" si="3"/>
        <v>0</v>
      </c>
      <c r="AO40" s="5">
        <f t="shared" si="4"/>
        <v>0</v>
      </c>
      <c r="AP40" s="5">
        <f t="shared" si="5"/>
        <v>0</v>
      </c>
    </row>
    <row r="41" spans="6:42" ht="15.75" customHeight="1" x14ac:dyDescent="0.35"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>
        <f t="shared" si="0"/>
        <v>31</v>
      </c>
      <c r="AL41" s="5">
        <f t="shared" si="1"/>
        <v>0</v>
      </c>
      <c r="AM41" s="5">
        <f t="shared" si="2"/>
        <v>0</v>
      </c>
      <c r="AN41" s="5">
        <f t="shared" si="3"/>
        <v>0</v>
      </c>
      <c r="AO41" s="5">
        <f t="shared" si="4"/>
        <v>0</v>
      </c>
      <c r="AP41" s="5">
        <f t="shared" si="5"/>
        <v>0</v>
      </c>
    </row>
    <row r="42" spans="6:42" ht="15.75" customHeight="1" x14ac:dyDescent="0.35"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f t="shared" si="0"/>
        <v>31</v>
      </c>
      <c r="AL42" s="5">
        <f t="shared" si="1"/>
        <v>0</v>
      </c>
      <c r="AM42" s="5">
        <f t="shared" si="2"/>
        <v>0</v>
      </c>
      <c r="AN42" s="5">
        <f t="shared" si="3"/>
        <v>0</v>
      </c>
      <c r="AO42" s="5">
        <f t="shared" si="4"/>
        <v>0</v>
      </c>
      <c r="AP42" s="5">
        <f t="shared" si="5"/>
        <v>0</v>
      </c>
    </row>
    <row r="43" spans="6:42" ht="15.75" customHeight="1" x14ac:dyDescent="0.35"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>
        <f t="shared" si="0"/>
        <v>31</v>
      </c>
      <c r="AL43" s="5">
        <f t="shared" si="1"/>
        <v>0</v>
      </c>
      <c r="AM43" s="5">
        <f t="shared" si="2"/>
        <v>0</v>
      </c>
      <c r="AN43" s="5">
        <f t="shared" si="3"/>
        <v>0</v>
      </c>
      <c r="AO43" s="5">
        <f t="shared" si="4"/>
        <v>0</v>
      </c>
      <c r="AP43" s="5">
        <f t="shared" si="5"/>
        <v>0</v>
      </c>
    </row>
    <row r="44" spans="6:42" ht="15.75" customHeight="1" x14ac:dyDescent="0.35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f t="shared" si="0"/>
        <v>31</v>
      </c>
      <c r="AL44" s="5">
        <f t="shared" si="1"/>
        <v>0</v>
      </c>
      <c r="AM44" s="5">
        <f t="shared" si="2"/>
        <v>0</v>
      </c>
      <c r="AN44" s="5">
        <f t="shared" si="3"/>
        <v>0</v>
      </c>
      <c r="AO44" s="5">
        <f t="shared" si="4"/>
        <v>0</v>
      </c>
      <c r="AP44" s="5">
        <f t="shared" si="5"/>
        <v>0</v>
      </c>
    </row>
    <row r="45" spans="6:42" ht="15.75" customHeight="1" x14ac:dyDescent="0.35"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f t="shared" si="0"/>
        <v>31</v>
      </c>
      <c r="AL45" s="5">
        <f t="shared" si="1"/>
        <v>0</v>
      </c>
      <c r="AM45" s="5">
        <f t="shared" si="2"/>
        <v>0</v>
      </c>
      <c r="AN45" s="5">
        <f t="shared" si="3"/>
        <v>0</v>
      </c>
      <c r="AO45" s="5">
        <f t="shared" si="4"/>
        <v>0</v>
      </c>
      <c r="AP45" s="5">
        <f t="shared" si="5"/>
        <v>0</v>
      </c>
    </row>
    <row r="46" spans="6:42" ht="15.75" customHeight="1" x14ac:dyDescent="0.35"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>
        <f t="shared" si="0"/>
        <v>31</v>
      </c>
      <c r="AL46" s="5">
        <f t="shared" si="1"/>
        <v>0</v>
      </c>
      <c r="AM46" s="5">
        <f t="shared" si="2"/>
        <v>0</v>
      </c>
      <c r="AN46" s="5">
        <f t="shared" si="3"/>
        <v>0</v>
      </c>
      <c r="AO46" s="5">
        <f t="shared" si="4"/>
        <v>0</v>
      </c>
      <c r="AP46" s="5">
        <f t="shared" si="5"/>
        <v>0</v>
      </c>
    </row>
    <row r="47" spans="6:42" ht="15.75" customHeight="1" x14ac:dyDescent="0.35"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f t="shared" si="0"/>
        <v>31</v>
      </c>
      <c r="AL47" s="5">
        <f t="shared" si="1"/>
        <v>0</v>
      </c>
      <c r="AM47" s="5">
        <f t="shared" si="2"/>
        <v>0</v>
      </c>
      <c r="AN47" s="5">
        <f t="shared" si="3"/>
        <v>0</v>
      </c>
      <c r="AO47" s="5">
        <f t="shared" si="4"/>
        <v>0</v>
      </c>
      <c r="AP47" s="5">
        <f t="shared" si="5"/>
        <v>0</v>
      </c>
    </row>
    <row r="48" spans="6:42" ht="15.75" customHeight="1" x14ac:dyDescent="0.35"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f t="shared" si="0"/>
        <v>31</v>
      </c>
      <c r="AL48" s="5">
        <f t="shared" si="1"/>
        <v>0</v>
      </c>
      <c r="AM48" s="5">
        <f t="shared" si="2"/>
        <v>0</v>
      </c>
      <c r="AN48" s="5">
        <f t="shared" si="3"/>
        <v>0</v>
      </c>
      <c r="AO48" s="5">
        <f t="shared" si="4"/>
        <v>0</v>
      </c>
      <c r="AP48" s="5">
        <f t="shared" si="5"/>
        <v>0</v>
      </c>
    </row>
    <row r="49" spans="6:42" ht="15.75" customHeight="1" x14ac:dyDescent="0.35"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>
        <f t="shared" si="0"/>
        <v>31</v>
      </c>
      <c r="AL49" s="5">
        <f t="shared" si="1"/>
        <v>0</v>
      </c>
      <c r="AM49" s="5">
        <f t="shared" si="2"/>
        <v>0</v>
      </c>
      <c r="AN49" s="5">
        <f t="shared" si="3"/>
        <v>0</v>
      </c>
      <c r="AO49" s="5">
        <f t="shared" si="4"/>
        <v>0</v>
      </c>
      <c r="AP49" s="5">
        <f t="shared" si="5"/>
        <v>0</v>
      </c>
    </row>
    <row r="50" spans="6:42" ht="15.75" customHeight="1" x14ac:dyDescent="0.35"/>
    <row r="51" spans="6:42" ht="15.75" customHeight="1" x14ac:dyDescent="0.35"/>
    <row r="52" spans="6:42" ht="15.75" customHeight="1" x14ac:dyDescent="0.35"/>
    <row r="53" spans="6:42" ht="15.75" customHeight="1" x14ac:dyDescent="0.35"/>
    <row r="54" spans="6:42" ht="15.75" customHeight="1" x14ac:dyDescent="0.35"/>
    <row r="55" spans="6:42" ht="15.75" customHeight="1" x14ac:dyDescent="0.35"/>
    <row r="56" spans="6:42" ht="15.75" customHeight="1" x14ac:dyDescent="0.35"/>
    <row r="57" spans="6:42" ht="15.75" customHeight="1" x14ac:dyDescent="0.35"/>
    <row r="58" spans="6:42" ht="15.75" customHeight="1" x14ac:dyDescent="0.35"/>
    <row r="59" spans="6:42" ht="15.75" customHeight="1" x14ac:dyDescent="0.35"/>
    <row r="60" spans="6:42" ht="15.75" customHeight="1" x14ac:dyDescent="0.35"/>
    <row r="61" spans="6:42" ht="15.75" customHeight="1" x14ac:dyDescent="0.35"/>
    <row r="62" spans="6:42" ht="15.75" customHeight="1" x14ac:dyDescent="0.35"/>
    <row r="63" spans="6:42" ht="15.75" customHeight="1" x14ac:dyDescent="0.35"/>
    <row r="64" spans="6:42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1">
    <dataValidation type="list" allowBlank="1" sqref="F2:AJ49" xr:uid="{00000000-0002-0000-0A00-000000000000}">
      <formula1>"P,A,H,CL,SL"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1000"/>
  <sheetViews>
    <sheetView workbookViewId="0"/>
  </sheetViews>
  <sheetFormatPr defaultColWidth="14.453125" defaultRowHeight="15" customHeight="1" x14ac:dyDescent="0.35"/>
  <cols>
    <col min="1" max="42" width="8.7265625" customWidth="1"/>
  </cols>
  <sheetData>
    <row r="1" spans="1:4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5" x14ac:dyDescent="0.35"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f t="shared" ref="AK2:AK49" si="0">COUNTIF(F2:AJ2,"&lt;&gt;H")</f>
        <v>31</v>
      </c>
      <c r="AL2" s="5">
        <f t="shared" ref="AL2:AL49" si="1">COUNTIF(F2:AJ2,"P")</f>
        <v>0</v>
      </c>
      <c r="AM2" s="5">
        <f t="shared" ref="AM2:AM49" si="2">COUNTIF(F2:AJ2,"CL")</f>
        <v>0</v>
      </c>
      <c r="AN2" s="5">
        <f t="shared" ref="AN2:AN49" si="3">COUNTIF(F2:AJ2,"SL")</f>
        <v>0</v>
      </c>
      <c r="AO2" s="5">
        <f t="shared" ref="AO2:AO49" si="4">COUNTIF(F2:AJ2,"A")</f>
        <v>0</v>
      </c>
      <c r="AP2" s="5">
        <f t="shared" ref="AP2:AP49" si="5">(D2/AK2)*AL2</f>
        <v>0</v>
      </c>
    </row>
    <row r="3" spans="1:42" ht="14.5" x14ac:dyDescent="0.35"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f t="shared" si="0"/>
        <v>31</v>
      </c>
      <c r="AL3" s="5">
        <f t="shared" si="1"/>
        <v>0</v>
      </c>
      <c r="AM3" s="5">
        <f t="shared" si="2"/>
        <v>0</v>
      </c>
      <c r="AN3" s="5">
        <f t="shared" si="3"/>
        <v>0</v>
      </c>
      <c r="AO3" s="5">
        <f t="shared" si="4"/>
        <v>0</v>
      </c>
      <c r="AP3" s="5">
        <f t="shared" si="5"/>
        <v>0</v>
      </c>
    </row>
    <row r="4" spans="1:42" ht="14.5" x14ac:dyDescent="0.35"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f t="shared" si="0"/>
        <v>31</v>
      </c>
      <c r="AL4" s="5">
        <f t="shared" si="1"/>
        <v>0</v>
      </c>
      <c r="AM4" s="5">
        <f t="shared" si="2"/>
        <v>0</v>
      </c>
      <c r="AN4" s="5">
        <f t="shared" si="3"/>
        <v>0</v>
      </c>
      <c r="AO4" s="5">
        <f t="shared" si="4"/>
        <v>0</v>
      </c>
      <c r="AP4" s="5">
        <f t="shared" si="5"/>
        <v>0</v>
      </c>
    </row>
    <row r="5" spans="1:42" ht="14.5" x14ac:dyDescent="0.35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f t="shared" si="0"/>
        <v>31</v>
      </c>
      <c r="AL5" s="5">
        <f t="shared" si="1"/>
        <v>0</v>
      </c>
      <c r="AM5" s="5">
        <f t="shared" si="2"/>
        <v>0</v>
      </c>
      <c r="AN5" s="5">
        <f t="shared" si="3"/>
        <v>0</v>
      </c>
      <c r="AO5" s="5">
        <f t="shared" si="4"/>
        <v>0</v>
      </c>
      <c r="AP5" s="5">
        <f t="shared" si="5"/>
        <v>0</v>
      </c>
    </row>
    <row r="6" spans="1:42" ht="14.5" x14ac:dyDescent="0.35"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f t="shared" si="0"/>
        <v>31</v>
      </c>
      <c r="AL6" s="5">
        <f t="shared" si="1"/>
        <v>0</v>
      </c>
      <c r="AM6" s="5">
        <f t="shared" si="2"/>
        <v>0</v>
      </c>
      <c r="AN6" s="5">
        <f t="shared" si="3"/>
        <v>0</v>
      </c>
      <c r="AO6" s="5">
        <f t="shared" si="4"/>
        <v>0</v>
      </c>
      <c r="AP6" s="5">
        <f t="shared" si="5"/>
        <v>0</v>
      </c>
    </row>
    <row r="7" spans="1:42" ht="14.5" x14ac:dyDescent="0.35"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f t="shared" si="0"/>
        <v>31</v>
      </c>
      <c r="AL7" s="5">
        <f t="shared" si="1"/>
        <v>0</v>
      </c>
      <c r="AM7" s="5">
        <f t="shared" si="2"/>
        <v>0</v>
      </c>
      <c r="AN7" s="5">
        <f t="shared" si="3"/>
        <v>0</v>
      </c>
      <c r="AO7" s="5">
        <f t="shared" si="4"/>
        <v>0</v>
      </c>
      <c r="AP7" s="5">
        <f t="shared" si="5"/>
        <v>0</v>
      </c>
    </row>
    <row r="8" spans="1:42" ht="14.5" x14ac:dyDescent="0.35"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f t="shared" si="0"/>
        <v>31</v>
      </c>
      <c r="AL8" s="5">
        <f t="shared" si="1"/>
        <v>0</v>
      </c>
      <c r="AM8" s="5">
        <f t="shared" si="2"/>
        <v>0</v>
      </c>
      <c r="AN8" s="5">
        <f t="shared" si="3"/>
        <v>0</v>
      </c>
      <c r="AO8" s="5">
        <f t="shared" si="4"/>
        <v>0</v>
      </c>
      <c r="AP8" s="5">
        <f t="shared" si="5"/>
        <v>0</v>
      </c>
    </row>
    <row r="9" spans="1:42" ht="14.5" x14ac:dyDescent="0.35"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f t="shared" si="0"/>
        <v>31</v>
      </c>
      <c r="AL9" s="5">
        <f t="shared" si="1"/>
        <v>0</v>
      </c>
      <c r="AM9" s="5">
        <f t="shared" si="2"/>
        <v>0</v>
      </c>
      <c r="AN9" s="5">
        <f t="shared" si="3"/>
        <v>0</v>
      </c>
      <c r="AO9" s="5">
        <f t="shared" si="4"/>
        <v>0</v>
      </c>
      <c r="AP9" s="5">
        <f t="shared" si="5"/>
        <v>0</v>
      </c>
    </row>
    <row r="10" spans="1:42" ht="14.5" x14ac:dyDescent="0.35"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f t="shared" si="0"/>
        <v>31</v>
      </c>
      <c r="AL10" s="5">
        <f t="shared" si="1"/>
        <v>0</v>
      </c>
      <c r="AM10" s="5">
        <f t="shared" si="2"/>
        <v>0</v>
      </c>
      <c r="AN10" s="5">
        <f t="shared" si="3"/>
        <v>0</v>
      </c>
      <c r="AO10" s="5">
        <f t="shared" si="4"/>
        <v>0</v>
      </c>
      <c r="AP10" s="5">
        <f t="shared" si="5"/>
        <v>0</v>
      </c>
    </row>
    <row r="11" spans="1:42" ht="14.5" x14ac:dyDescent="0.35"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f t="shared" si="0"/>
        <v>31</v>
      </c>
      <c r="AL11" s="5">
        <f t="shared" si="1"/>
        <v>0</v>
      </c>
      <c r="AM11" s="5">
        <f t="shared" si="2"/>
        <v>0</v>
      </c>
      <c r="AN11" s="5">
        <f t="shared" si="3"/>
        <v>0</v>
      </c>
      <c r="AO11" s="5">
        <f t="shared" si="4"/>
        <v>0</v>
      </c>
      <c r="AP11" s="5">
        <f t="shared" si="5"/>
        <v>0</v>
      </c>
    </row>
    <row r="12" spans="1:42" ht="14.5" x14ac:dyDescent="0.35"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f t="shared" si="0"/>
        <v>31</v>
      </c>
      <c r="AL12" s="5">
        <f t="shared" si="1"/>
        <v>0</v>
      </c>
      <c r="AM12" s="5">
        <f t="shared" si="2"/>
        <v>0</v>
      </c>
      <c r="AN12" s="5">
        <f t="shared" si="3"/>
        <v>0</v>
      </c>
      <c r="AO12" s="5">
        <f t="shared" si="4"/>
        <v>0</v>
      </c>
      <c r="AP12" s="5">
        <f t="shared" si="5"/>
        <v>0</v>
      </c>
    </row>
    <row r="13" spans="1:42" ht="14.5" x14ac:dyDescent="0.35"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f t="shared" si="0"/>
        <v>31</v>
      </c>
      <c r="AL13" s="5">
        <f t="shared" si="1"/>
        <v>0</v>
      </c>
      <c r="AM13" s="5">
        <f t="shared" si="2"/>
        <v>0</v>
      </c>
      <c r="AN13" s="5">
        <f t="shared" si="3"/>
        <v>0</v>
      </c>
      <c r="AO13" s="5">
        <f t="shared" si="4"/>
        <v>0</v>
      </c>
      <c r="AP13" s="5">
        <f t="shared" si="5"/>
        <v>0</v>
      </c>
    </row>
    <row r="14" spans="1:42" ht="14.5" x14ac:dyDescent="0.35"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f t="shared" si="0"/>
        <v>31</v>
      </c>
      <c r="AL14" s="5">
        <f t="shared" si="1"/>
        <v>0</v>
      </c>
      <c r="AM14" s="5">
        <f t="shared" si="2"/>
        <v>0</v>
      </c>
      <c r="AN14" s="5">
        <f t="shared" si="3"/>
        <v>0</v>
      </c>
      <c r="AO14" s="5">
        <f t="shared" si="4"/>
        <v>0</v>
      </c>
      <c r="AP14" s="5">
        <f t="shared" si="5"/>
        <v>0</v>
      </c>
    </row>
    <row r="15" spans="1:42" ht="14.5" x14ac:dyDescent="0.35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f t="shared" si="0"/>
        <v>31</v>
      </c>
      <c r="AL15" s="5">
        <f t="shared" si="1"/>
        <v>0</v>
      </c>
      <c r="AM15" s="5">
        <f t="shared" si="2"/>
        <v>0</v>
      </c>
      <c r="AN15" s="5">
        <f t="shared" si="3"/>
        <v>0</v>
      </c>
      <c r="AO15" s="5">
        <f t="shared" si="4"/>
        <v>0</v>
      </c>
      <c r="AP15" s="5">
        <f t="shared" si="5"/>
        <v>0</v>
      </c>
    </row>
    <row r="16" spans="1:42" ht="14.5" x14ac:dyDescent="0.3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f t="shared" si="0"/>
        <v>31</v>
      </c>
      <c r="AL16" s="5">
        <f t="shared" si="1"/>
        <v>0</v>
      </c>
      <c r="AM16" s="5">
        <f t="shared" si="2"/>
        <v>0</v>
      </c>
      <c r="AN16" s="5">
        <f t="shared" si="3"/>
        <v>0</v>
      </c>
      <c r="AO16" s="5">
        <f t="shared" si="4"/>
        <v>0</v>
      </c>
      <c r="AP16" s="5">
        <f t="shared" si="5"/>
        <v>0</v>
      </c>
    </row>
    <row r="17" spans="6:42" ht="14.5" x14ac:dyDescent="0.3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f t="shared" si="0"/>
        <v>31</v>
      </c>
      <c r="AL17" s="5">
        <f t="shared" si="1"/>
        <v>0</v>
      </c>
      <c r="AM17" s="5">
        <f t="shared" si="2"/>
        <v>0</v>
      </c>
      <c r="AN17" s="5">
        <f t="shared" si="3"/>
        <v>0</v>
      </c>
      <c r="AO17" s="5">
        <f t="shared" si="4"/>
        <v>0</v>
      </c>
      <c r="AP17" s="5">
        <f t="shared" si="5"/>
        <v>0</v>
      </c>
    </row>
    <row r="18" spans="6:42" ht="14.5" x14ac:dyDescent="0.3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f t="shared" si="0"/>
        <v>31</v>
      </c>
      <c r="AL18" s="5">
        <f t="shared" si="1"/>
        <v>0</v>
      </c>
      <c r="AM18" s="5">
        <f t="shared" si="2"/>
        <v>0</v>
      </c>
      <c r="AN18" s="5">
        <f t="shared" si="3"/>
        <v>0</v>
      </c>
      <c r="AO18" s="5">
        <f t="shared" si="4"/>
        <v>0</v>
      </c>
      <c r="AP18" s="5">
        <f t="shared" si="5"/>
        <v>0</v>
      </c>
    </row>
    <row r="19" spans="6:42" ht="14.5" x14ac:dyDescent="0.35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f t="shared" si="0"/>
        <v>31</v>
      </c>
      <c r="AL19" s="5">
        <f t="shared" si="1"/>
        <v>0</v>
      </c>
      <c r="AM19" s="5">
        <f t="shared" si="2"/>
        <v>0</v>
      </c>
      <c r="AN19" s="5">
        <f t="shared" si="3"/>
        <v>0</v>
      </c>
      <c r="AO19" s="5">
        <f t="shared" si="4"/>
        <v>0</v>
      </c>
      <c r="AP19" s="5">
        <f t="shared" si="5"/>
        <v>0</v>
      </c>
    </row>
    <row r="20" spans="6:42" ht="14.5" x14ac:dyDescent="0.3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f t="shared" si="0"/>
        <v>31</v>
      </c>
      <c r="AL20" s="5">
        <f t="shared" si="1"/>
        <v>0</v>
      </c>
      <c r="AM20" s="5">
        <f t="shared" si="2"/>
        <v>0</v>
      </c>
      <c r="AN20" s="5">
        <f t="shared" si="3"/>
        <v>0</v>
      </c>
      <c r="AO20" s="5">
        <f t="shared" si="4"/>
        <v>0</v>
      </c>
      <c r="AP20" s="5">
        <f t="shared" si="5"/>
        <v>0</v>
      </c>
    </row>
    <row r="21" spans="6:42" ht="15.75" customHeight="1" x14ac:dyDescent="0.35"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f t="shared" si="0"/>
        <v>31</v>
      </c>
      <c r="AL21" s="5">
        <f t="shared" si="1"/>
        <v>0</v>
      </c>
      <c r="AM21" s="5">
        <f t="shared" si="2"/>
        <v>0</v>
      </c>
      <c r="AN21" s="5">
        <f t="shared" si="3"/>
        <v>0</v>
      </c>
      <c r="AO21" s="5">
        <f t="shared" si="4"/>
        <v>0</v>
      </c>
      <c r="AP21" s="5">
        <f t="shared" si="5"/>
        <v>0</v>
      </c>
    </row>
    <row r="22" spans="6:42" ht="15.75" customHeight="1" x14ac:dyDescent="0.35"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f t="shared" si="0"/>
        <v>31</v>
      </c>
      <c r="AL22" s="5">
        <f t="shared" si="1"/>
        <v>0</v>
      </c>
      <c r="AM22" s="5">
        <f t="shared" si="2"/>
        <v>0</v>
      </c>
      <c r="AN22" s="5">
        <f t="shared" si="3"/>
        <v>0</v>
      </c>
      <c r="AO22" s="5">
        <f t="shared" si="4"/>
        <v>0</v>
      </c>
      <c r="AP22" s="5">
        <f t="shared" si="5"/>
        <v>0</v>
      </c>
    </row>
    <row r="23" spans="6:42" ht="15.75" customHeight="1" x14ac:dyDescent="0.35"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f t="shared" si="0"/>
        <v>31</v>
      </c>
      <c r="AL23" s="5">
        <f t="shared" si="1"/>
        <v>0</v>
      </c>
      <c r="AM23" s="5">
        <f t="shared" si="2"/>
        <v>0</v>
      </c>
      <c r="AN23" s="5">
        <f t="shared" si="3"/>
        <v>0</v>
      </c>
      <c r="AO23" s="5">
        <f t="shared" si="4"/>
        <v>0</v>
      </c>
      <c r="AP23" s="5">
        <f t="shared" si="5"/>
        <v>0</v>
      </c>
    </row>
    <row r="24" spans="6:42" ht="15.75" customHeight="1" x14ac:dyDescent="0.35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f t="shared" si="0"/>
        <v>31</v>
      </c>
      <c r="AL24" s="5">
        <f t="shared" si="1"/>
        <v>0</v>
      </c>
      <c r="AM24" s="5">
        <f t="shared" si="2"/>
        <v>0</v>
      </c>
      <c r="AN24" s="5">
        <f t="shared" si="3"/>
        <v>0</v>
      </c>
      <c r="AO24" s="5">
        <f t="shared" si="4"/>
        <v>0</v>
      </c>
      <c r="AP24" s="5">
        <f t="shared" si="5"/>
        <v>0</v>
      </c>
    </row>
    <row r="25" spans="6:42" ht="15.75" customHeight="1" x14ac:dyDescent="0.35"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f t="shared" si="0"/>
        <v>31</v>
      </c>
      <c r="AL25" s="5">
        <f t="shared" si="1"/>
        <v>0</v>
      </c>
      <c r="AM25" s="5">
        <f t="shared" si="2"/>
        <v>0</v>
      </c>
      <c r="AN25" s="5">
        <f t="shared" si="3"/>
        <v>0</v>
      </c>
      <c r="AO25" s="5">
        <f t="shared" si="4"/>
        <v>0</v>
      </c>
      <c r="AP25" s="5">
        <f t="shared" si="5"/>
        <v>0</v>
      </c>
    </row>
    <row r="26" spans="6:42" ht="15.75" customHeight="1" x14ac:dyDescent="0.35"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>
        <f t="shared" si="0"/>
        <v>31</v>
      </c>
      <c r="AL26" s="5">
        <f t="shared" si="1"/>
        <v>0</v>
      </c>
      <c r="AM26" s="5">
        <f t="shared" si="2"/>
        <v>0</v>
      </c>
      <c r="AN26" s="5">
        <f t="shared" si="3"/>
        <v>0</v>
      </c>
      <c r="AO26" s="5">
        <f t="shared" si="4"/>
        <v>0</v>
      </c>
      <c r="AP26" s="5">
        <f t="shared" si="5"/>
        <v>0</v>
      </c>
    </row>
    <row r="27" spans="6:42" ht="15.75" customHeight="1" x14ac:dyDescent="0.35"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>
        <f t="shared" si="0"/>
        <v>31</v>
      </c>
      <c r="AL27" s="5">
        <f t="shared" si="1"/>
        <v>0</v>
      </c>
      <c r="AM27" s="5">
        <f t="shared" si="2"/>
        <v>0</v>
      </c>
      <c r="AN27" s="5">
        <f t="shared" si="3"/>
        <v>0</v>
      </c>
      <c r="AO27" s="5">
        <f t="shared" si="4"/>
        <v>0</v>
      </c>
      <c r="AP27" s="5">
        <f t="shared" si="5"/>
        <v>0</v>
      </c>
    </row>
    <row r="28" spans="6:42" ht="15.75" customHeight="1" x14ac:dyDescent="0.35"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>
        <f t="shared" si="0"/>
        <v>31</v>
      </c>
      <c r="AL28" s="5">
        <f t="shared" si="1"/>
        <v>0</v>
      </c>
      <c r="AM28" s="5">
        <f t="shared" si="2"/>
        <v>0</v>
      </c>
      <c r="AN28" s="5">
        <f t="shared" si="3"/>
        <v>0</v>
      </c>
      <c r="AO28" s="5">
        <f t="shared" si="4"/>
        <v>0</v>
      </c>
      <c r="AP28" s="5">
        <f t="shared" si="5"/>
        <v>0</v>
      </c>
    </row>
    <row r="29" spans="6:42" ht="15.75" customHeight="1" x14ac:dyDescent="0.35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f t="shared" si="0"/>
        <v>31</v>
      </c>
      <c r="AL29" s="5">
        <f t="shared" si="1"/>
        <v>0</v>
      </c>
      <c r="AM29" s="5">
        <f t="shared" si="2"/>
        <v>0</v>
      </c>
      <c r="AN29" s="5">
        <f t="shared" si="3"/>
        <v>0</v>
      </c>
      <c r="AO29" s="5">
        <f t="shared" si="4"/>
        <v>0</v>
      </c>
      <c r="AP29" s="5">
        <f t="shared" si="5"/>
        <v>0</v>
      </c>
    </row>
    <row r="30" spans="6:42" ht="15.75" customHeight="1" x14ac:dyDescent="0.35"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>
        <f t="shared" si="0"/>
        <v>31</v>
      </c>
      <c r="AL30" s="5">
        <f t="shared" si="1"/>
        <v>0</v>
      </c>
      <c r="AM30" s="5">
        <f t="shared" si="2"/>
        <v>0</v>
      </c>
      <c r="AN30" s="5">
        <f t="shared" si="3"/>
        <v>0</v>
      </c>
      <c r="AO30" s="5">
        <f t="shared" si="4"/>
        <v>0</v>
      </c>
      <c r="AP30" s="5">
        <f t="shared" si="5"/>
        <v>0</v>
      </c>
    </row>
    <row r="31" spans="6:42" ht="15.75" customHeight="1" x14ac:dyDescent="0.35"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f t="shared" si="0"/>
        <v>31</v>
      </c>
      <c r="AL31" s="5">
        <f t="shared" si="1"/>
        <v>0</v>
      </c>
      <c r="AM31" s="5">
        <f t="shared" si="2"/>
        <v>0</v>
      </c>
      <c r="AN31" s="5">
        <f t="shared" si="3"/>
        <v>0</v>
      </c>
      <c r="AO31" s="5">
        <f t="shared" si="4"/>
        <v>0</v>
      </c>
      <c r="AP31" s="5">
        <f t="shared" si="5"/>
        <v>0</v>
      </c>
    </row>
    <row r="32" spans="6:42" ht="15.75" customHeight="1" x14ac:dyDescent="0.35"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>
        <f t="shared" si="0"/>
        <v>31</v>
      </c>
      <c r="AL32" s="5">
        <f t="shared" si="1"/>
        <v>0</v>
      </c>
      <c r="AM32" s="5">
        <f t="shared" si="2"/>
        <v>0</v>
      </c>
      <c r="AN32" s="5">
        <f t="shared" si="3"/>
        <v>0</v>
      </c>
      <c r="AO32" s="5">
        <f t="shared" si="4"/>
        <v>0</v>
      </c>
      <c r="AP32" s="5">
        <f t="shared" si="5"/>
        <v>0</v>
      </c>
    </row>
    <row r="33" spans="6:42" ht="15.75" customHeight="1" x14ac:dyDescent="0.35"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f t="shared" si="0"/>
        <v>31</v>
      </c>
      <c r="AL33" s="5">
        <f t="shared" si="1"/>
        <v>0</v>
      </c>
      <c r="AM33" s="5">
        <f t="shared" si="2"/>
        <v>0</v>
      </c>
      <c r="AN33" s="5">
        <f t="shared" si="3"/>
        <v>0</v>
      </c>
      <c r="AO33" s="5">
        <f t="shared" si="4"/>
        <v>0</v>
      </c>
      <c r="AP33" s="5">
        <f t="shared" si="5"/>
        <v>0</v>
      </c>
    </row>
    <row r="34" spans="6:42" ht="15.75" customHeight="1" x14ac:dyDescent="0.35"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f t="shared" si="0"/>
        <v>31</v>
      </c>
      <c r="AL34" s="5">
        <f t="shared" si="1"/>
        <v>0</v>
      </c>
      <c r="AM34" s="5">
        <f t="shared" si="2"/>
        <v>0</v>
      </c>
      <c r="AN34" s="5">
        <f t="shared" si="3"/>
        <v>0</v>
      </c>
      <c r="AO34" s="5">
        <f t="shared" si="4"/>
        <v>0</v>
      </c>
      <c r="AP34" s="5">
        <f t="shared" si="5"/>
        <v>0</v>
      </c>
    </row>
    <row r="35" spans="6:42" ht="15.75" customHeight="1" x14ac:dyDescent="0.35"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>
        <f t="shared" si="0"/>
        <v>31</v>
      </c>
      <c r="AL35" s="5">
        <f t="shared" si="1"/>
        <v>0</v>
      </c>
      <c r="AM35" s="5">
        <f t="shared" si="2"/>
        <v>0</v>
      </c>
      <c r="AN35" s="5">
        <f t="shared" si="3"/>
        <v>0</v>
      </c>
      <c r="AO35" s="5">
        <f t="shared" si="4"/>
        <v>0</v>
      </c>
      <c r="AP35" s="5">
        <f t="shared" si="5"/>
        <v>0</v>
      </c>
    </row>
    <row r="36" spans="6:42" ht="15.75" customHeight="1" x14ac:dyDescent="0.35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>
        <f t="shared" si="0"/>
        <v>31</v>
      </c>
      <c r="AL36" s="5">
        <f t="shared" si="1"/>
        <v>0</v>
      </c>
      <c r="AM36" s="5">
        <f t="shared" si="2"/>
        <v>0</v>
      </c>
      <c r="AN36" s="5">
        <f t="shared" si="3"/>
        <v>0</v>
      </c>
      <c r="AO36" s="5">
        <f t="shared" si="4"/>
        <v>0</v>
      </c>
      <c r="AP36" s="5">
        <f t="shared" si="5"/>
        <v>0</v>
      </c>
    </row>
    <row r="37" spans="6:42" ht="15.75" customHeight="1" x14ac:dyDescent="0.35"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f t="shared" si="0"/>
        <v>31</v>
      </c>
      <c r="AL37" s="5">
        <f t="shared" si="1"/>
        <v>0</v>
      </c>
      <c r="AM37" s="5">
        <f t="shared" si="2"/>
        <v>0</v>
      </c>
      <c r="AN37" s="5">
        <f t="shared" si="3"/>
        <v>0</v>
      </c>
      <c r="AO37" s="5">
        <f t="shared" si="4"/>
        <v>0</v>
      </c>
      <c r="AP37" s="5">
        <f t="shared" si="5"/>
        <v>0</v>
      </c>
    </row>
    <row r="38" spans="6:42" ht="15.75" customHeight="1" x14ac:dyDescent="0.35"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f t="shared" si="0"/>
        <v>31</v>
      </c>
      <c r="AL38" s="5">
        <f t="shared" si="1"/>
        <v>0</v>
      </c>
      <c r="AM38" s="5">
        <f t="shared" si="2"/>
        <v>0</v>
      </c>
      <c r="AN38" s="5">
        <f t="shared" si="3"/>
        <v>0</v>
      </c>
      <c r="AO38" s="5">
        <f t="shared" si="4"/>
        <v>0</v>
      </c>
      <c r="AP38" s="5">
        <f t="shared" si="5"/>
        <v>0</v>
      </c>
    </row>
    <row r="39" spans="6:42" ht="15.75" customHeight="1" x14ac:dyDescent="0.35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f t="shared" si="0"/>
        <v>31</v>
      </c>
      <c r="AL39" s="5">
        <f t="shared" si="1"/>
        <v>0</v>
      </c>
      <c r="AM39" s="5">
        <f t="shared" si="2"/>
        <v>0</v>
      </c>
      <c r="AN39" s="5">
        <f t="shared" si="3"/>
        <v>0</v>
      </c>
      <c r="AO39" s="5">
        <f t="shared" si="4"/>
        <v>0</v>
      </c>
      <c r="AP39" s="5">
        <f t="shared" si="5"/>
        <v>0</v>
      </c>
    </row>
    <row r="40" spans="6:42" ht="15.75" customHeight="1" x14ac:dyDescent="0.35"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f t="shared" si="0"/>
        <v>31</v>
      </c>
      <c r="AL40" s="5">
        <f t="shared" si="1"/>
        <v>0</v>
      </c>
      <c r="AM40" s="5">
        <f t="shared" si="2"/>
        <v>0</v>
      </c>
      <c r="AN40" s="5">
        <f t="shared" si="3"/>
        <v>0</v>
      </c>
      <c r="AO40" s="5">
        <f t="shared" si="4"/>
        <v>0</v>
      </c>
      <c r="AP40" s="5">
        <f t="shared" si="5"/>
        <v>0</v>
      </c>
    </row>
    <row r="41" spans="6:42" ht="15.75" customHeight="1" x14ac:dyDescent="0.35"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>
        <f t="shared" si="0"/>
        <v>31</v>
      </c>
      <c r="AL41" s="5">
        <f t="shared" si="1"/>
        <v>0</v>
      </c>
      <c r="AM41" s="5">
        <f t="shared" si="2"/>
        <v>0</v>
      </c>
      <c r="AN41" s="5">
        <f t="shared" si="3"/>
        <v>0</v>
      </c>
      <c r="AO41" s="5">
        <f t="shared" si="4"/>
        <v>0</v>
      </c>
      <c r="AP41" s="5">
        <f t="shared" si="5"/>
        <v>0</v>
      </c>
    </row>
    <row r="42" spans="6:42" ht="15.75" customHeight="1" x14ac:dyDescent="0.35"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f t="shared" si="0"/>
        <v>31</v>
      </c>
      <c r="AL42" s="5">
        <f t="shared" si="1"/>
        <v>0</v>
      </c>
      <c r="AM42" s="5">
        <f t="shared" si="2"/>
        <v>0</v>
      </c>
      <c r="AN42" s="5">
        <f t="shared" si="3"/>
        <v>0</v>
      </c>
      <c r="AO42" s="5">
        <f t="shared" si="4"/>
        <v>0</v>
      </c>
      <c r="AP42" s="5">
        <f t="shared" si="5"/>
        <v>0</v>
      </c>
    </row>
    <row r="43" spans="6:42" ht="15.75" customHeight="1" x14ac:dyDescent="0.35"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>
        <f t="shared" si="0"/>
        <v>31</v>
      </c>
      <c r="AL43" s="5">
        <f t="shared" si="1"/>
        <v>0</v>
      </c>
      <c r="AM43" s="5">
        <f t="shared" si="2"/>
        <v>0</v>
      </c>
      <c r="AN43" s="5">
        <f t="shared" si="3"/>
        <v>0</v>
      </c>
      <c r="AO43" s="5">
        <f t="shared" si="4"/>
        <v>0</v>
      </c>
      <c r="AP43" s="5">
        <f t="shared" si="5"/>
        <v>0</v>
      </c>
    </row>
    <row r="44" spans="6:42" ht="15.75" customHeight="1" x14ac:dyDescent="0.35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f t="shared" si="0"/>
        <v>31</v>
      </c>
      <c r="AL44" s="5">
        <f t="shared" si="1"/>
        <v>0</v>
      </c>
      <c r="AM44" s="5">
        <f t="shared" si="2"/>
        <v>0</v>
      </c>
      <c r="AN44" s="5">
        <f t="shared" si="3"/>
        <v>0</v>
      </c>
      <c r="AO44" s="5">
        <f t="shared" si="4"/>
        <v>0</v>
      </c>
      <c r="AP44" s="5">
        <f t="shared" si="5"/>
        <v>0</v>
      </c>
    </row>
    <row r="45" spans="6:42" ht="15.75" customHeight="1" x14ac:dyDescent="0.35"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f t="shared" si="0"/>
        <v>31</v>
      </c>
      <c r="AL45" s="5">
        <f t="shared" si="1"/>
        <v>0</v>
      </c>
      <c r="AM45" s="5">
        <f t="shared" si="2"/>
        <v>0</v>
      </c>
      <c r="AN45" s="5">
        <f t="shared" si="3"/>
        <v>0</v>
      </c>
      <c r="AO45" s="5">
        <f t="shared" si="4"/>
        <v>0</v>
      </c>
      <c r="AP45" s="5">
        <f t="shared" si="5"/>
        <v>0</v>
      </c>
    </row>
    <row r="46" spans="6:42" ht="15.75" customHeight="1" x14ac:dyDescent="0.35"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>
        <f t="shared" si="0"/>
        <v>31</v>
      </c>
      <c r="AL46" s="5">
        <f t="shared" si="1"/>
        <v>0</v>
      </c>
      <c r="AM46" s="5">
        <f t="shared" si="2"/>
        <v>0</v>
      </c>
      <c r="AN46" s="5">
        <f t="shared" si="3"/>
        <v>0</v>
      </c>
      <c r="AO46" s="5">
        <f t="shared" si="4"/>
        <v>0</v>
      </c>
      <c r="AP46" s="5">
        <f t="shared" si="5"/>
        <v>0</v>
      </c>
    </row>
    <row r="47" spans="6:42" ht="15.75" customHeight="1" x14ac:dyDescent="0.35"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f t="shared" si="0"/>
        <v>31</v>
      </c>
      <c r="AL47" s="5">
        <f t="shared" si="1"/>
        <v>0</v>
      </c>
      <c r="AM47" s="5">
        <f t="shared" si="2"/>
        <v>0</v>
      </c>
      <c r="AN47" s="5">
        <f t="shared" si="3"/>
        <v>0</v>
      </c>
      <c r="AO47" s="5">
        <f t="shared" si="4"/>
        <v>0</v>
      </c>
      <c r="AP47" s="5">
        <f t="shared" si="5"/>
        <v>0</v>
      </c>
    </row>
    <row r="48" spans="6:42" ht="15.75" customHeight="1" x14ac:dyDescent="0.35"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f t="shared" si="0"/>
        <v>31</v>
      </c>
      <c r="AL48" s="5">
        <f t="shared" si="1"/>
        <v>0</v>
      </c>
      <c r="AM48" s="5">
        <f t="shared" si="2"/>
        <v>0</v>
      </c>
      <c r="AN48" s="5">
        <f t="shared" si="3"/>
        <v>0</v>
      </c>
      <c r="AO48" s="5">
        <f t="shared" si="4"/>
        <v>0</v>
      </c>
      <c r="AP48" s="5">
        <f t="shared" si="5"/>
        <v>0</v>
      </c>
    </row>
    <row r="49" spans="6:42" ht="15.75" customHeight="1" x14ac:dyDescent="0.35"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>
        <f t="shared" si="0"/>
        <v>31</v>
      </c>
      <c r="AL49" s="5">
        <f t="shared" si="1"/>
        <v>0</v>
      </c>
      <c r="AM49" s="5">
        <f t="shared" si="2"/>
        <v>0</v>
      </c>
      <c r="AN49" s="5">
        <f t="shared" si="3"/>
        <v>0</v>
      </c>
      <c r="AO49" s="5">
        <f t="shared" si="4"/>
        <v>0</v>
      </c>
      <c r="AP49" s="5">
        <f t="shared" si="5"/>
        <v>0</v>
      </c>
    </row>
    <row r="50" spans="6:42" ht="15.75" customHeight="1" x14ac:dyDescent="0.35"/>
    <row r="51" spans="6:42" ht="15.75" customHeight="1" x14ac:dyDescent="0.35"/>
    <row r="52" spans="6:42" ht="15.75" customHeight="1" x14ac:dyDescent="0.35"/>
    <row r="53" spans="6:42" ht="15.75" customHeight="1" x14ac:dyDescent="0.35"/>
    <row r="54" spans="6:42" ht="15.75" customHeight="1" x14ac:dyDescent="0.35"/>
    <row r="55" spans="6:42" ht="15.75" customHeight="1" x14ac:dyDescent="0.35"/>
    <row r="56" spans="6:42" ht="15.75" customHeight="1" x14ac:dyDescent="0.35"/>
    <row r="57" spans="6:42" ht="15.75" customHeight="1" x14ac:dyDescent="0.35"/>
    <row r="58" spans="6:42" ht="15.75" customHeight="1" x14ac:dyDescent="0.35"/>
    <row r="59" spans="6:42" ht="15.75" customHeight="1" x14ac:dyDescent="0.35"/>
    <row r="60" spans="6:42" ht="15.75" customHeight="1" x14ac:dyDescent="0.35"/>
    <row r="61" spans="6:42" ht="15.75" customHeight="1" x14ac:dyDescent="0.35"/>
    <row r="62" spans="6:42" ht="15.75" customHeight="1" x14ac:dyDescent="0.35"/>
    <row r="63" spans="6:42" ht="15.75" customHeight="1" x14ac:dyDescent="0.35"/>
    <row r="64" spans="6:42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1">
    <dataValidation type="list" allowBlank="1" sqref="F2:AJ49" xr:uid="{00000000-0002-0000-0B00-000000000000}">
      <formula1>"P,A,H,CL,SL"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 2026</vt:lpstr>
      <vt:lpstr>Jun</vt:lpstr>
      <vt:lpstr>Jul</vt:lpstr>
      <vt:lpstr>Aug</vt:lpstr>
      <vt:lpstr>Sep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</dc:creator>
  <cp:lastModifiedBy>Sanna Innovations</cp:lastModifiedBy>
  <dcterms:created xsi:type="dcterms:W3CDTF">2026-06-27T06:22:41Z</dcterms:created>
  <dcterms:modified xsi:type="dcterms:W3CDTF">2026-06-27T06:22:41Z</dcterms:modified>
</cp:coreProperties>
</file>