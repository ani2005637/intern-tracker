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  <sheet state="visible" name="June Intern attendence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<sst xmlns="http://schemas.openxmlformats.org/spreadsheetml/2006/main" count="321" uniqueCount="114">
  <si>
    <t>Emp No</t>
  </si>
  <si>
    <t>Employee Name</t>
  </si>
  <si>
    <t>Designation</t>
  </si>
  <si>
    <t>Salary</t>
  </si>
  <si>
    <t>Date of Joining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</si>
  <si>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</si>
  <si>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</si>
  <si>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</si>
  <si>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</si>
  <si>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</si>
  <si>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</si>
  <si>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</si>
  <si>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</si>
  <si>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</si>
  <si>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</si>
  <si>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</si>
  <si>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</si>
  <si>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</si>
  <si>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</si>
  <si>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</si>
  <si>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</si>
  <si>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</si>
  <si>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</si>
  <si>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</si>
  <si>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</si>
  <si>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</si>
  <si>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</si>
  <si>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</si>
  <si>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</si>
  <si>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</si>
  <si>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</si>
  <si>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</si>
  <si>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</si>
  <si>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</si>
  <si>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</si>
  <si>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</si>
  <si>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Total Working Days</t>
  </si>
  <si>
    <t>Present Days</t>
  </si>
  <si>
    <t>CL</t>
  </si>
  <si>
    <t>Sick Leave</t>
  </si>
  <si>
    <t>LOP</t>
  </si>
  <si>
    <t>Net Payable</t>
  </si>
  <si>
    <t>EMPSI01</t>
  </si>
  <si>
    <t xml:space="preserve">Srinivas </t>
  </si>
  <si>
    <t>CEO</t>
  </si>
  <si>
    <t>21-06-2017</t>
  </si>
  <si>
    <t>P</t>
  </si>
  <si>
    <t>H</t>
  </si>
  <si>
    <t>EMPSI02</t>
  </si>
  <si>
    <t xml:space="preserve">Jyothi </t>
  </si>
  <si>
    <t>CCO</t>
  </si>
  <si>
    <t>A</t>
  </si>
  <si>
    <t>HD</t>
  </si>
  <si>
    <t>EMPSI03</t>
  </si>
  <si>
    <t>Sowmya</t>
  </si>
  <si>
    <t>Project Co-Ordinator</t>
  </si>
  <si>
    <t>22-06-2023</t>
  </si>
  <si>
    <t>SL</t>
  </si>
  <si>
    <t>EMPSI04</t>
  </si>
  <si>
    <t>Naveen Kumar</t>
  </si>
  <si>
    <t>Head Of Operations</t>
  </si>
  <si>
    <t>EMPSI05</t>
  </si>
  <si>
    <t>Nikki</t>
  </si>
  <si>
    <t>Digital Marketing Lead</t>
  </si>
  <si>
    <t>EMPSI06</t>
  </si>
  <si>
    <t xml:space="preserve">Mavuri Anand Kumar </t>
  </si>
  <si>
    <t>Video Editor</t>
  </si>
  <si>
    <t>EMPSI07</t>
  </si>
  <si>
    <t>Riya Biswas Dasgupta</t>
  </si>
  <si>
    <t>Sr.Graphic Designer</t>
  </si>
  <si>
    <t>EMPSI08</t>
  </si>
  <si>
    <t xml:space="preserve">Adarsh </t>
  </si>
  <si>
    <t>SEO</t>
  </si>
  <si>
    <t>EMPSI09</t>
  </si>
  <si>
    <t xml:space="preserve">Jakka Balaji Mahendra </t>
  </si>
  <si>
    <t>Data Analyst Intern</t>
  </si>
  <si>
    <t>22/06/2026</t>
  </si>
  <si>
    <t>EMPSI10</t>
  </si>
  <si>
    <t>Bhuvan Sai Adithya</t>
  </si>
  <si>
    <t>EMPSI11</t>
  </si>
  <si>
    <t>M.Shalini Sree</t>
  </si>
  <si>
    <t>EMPSI12</t>
  </si>
  <si>
    <t xml:space="preserve">Vansh Goyal </t>
  </si>
  <si>
    <t>EMPSI13</t>
  </si>
  <si>
    <t>Srikakula Anirudh</t>
  </si>
  <si>
    <t>August Month 2025 - Ads Spent Report</t>
  </si>
  <si>
    <t>Sl no</t>
  </si>
  <si>
    <t>Client Name</t>
  </si>
  <si>
    <t>Meta Ads Spent</t>
  </si>
  <si>
    <t>Insta Boosting Spent</t>
  </si>
  <si>
    <t>Google Ads Spent</t>
  </si>
  <si>
    <t>LinkedIn Ads Spent</t>
  </si>
  <si>
    <t>Total Spent</t>
  </si>
  <si>
    <t xml:space="preserve">Remark </t>
  </si>
  <si>
    <t>Rainbow PVD</t>
  </si>
  <si>
    <t>Galaxy PVD</t>
  </si>
  <si>
    <t>Proojaris</t>
  </si>
  <si>
    <t>520 was added on 13th august</t>
  </si>
  <si>
    <t>Aigiri</t>
  </si>
  <si>
    <t>Play Prism</t>
  </si>
  <si>
    <t xml:space="preserve">NK Enterprise </t>
  </si>
  <si>
    <t>Masscoder</t>
  </si>
  <si>
    <t xml:space="preserve">Jalmahal </t>
  </si>
  <si>
    <t xml:space="preserve">2000 July month remaining balance + 5000 august month </t>
  </si>
  <si>
    <t>Vasa</t>
  </si>
  <si>
    <t xml:space="preserve">Mentem </t>
  </si>
  <si>
    <t>Neoventra</t>
  </si>
  <si>
    <t xml:space="preserve">Royal Treat </t>
  </si>
  <si>
    <t xml:space="preserve">paid by the client card </t>
  </si>
  <si>
    <t xml:space="preserve">Bombay Tiffanys </t>
  </si>
  <si>
    <t xml:space="preserve">Artikel Inox </t>
  </si>
  <si>
    <t>Nirmal Clinic</t>
  </si>
  <si>
    <t>Idermify</t>
  </si>
  <si>
    <t>Diamond PVD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</si>
</sst>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\-dd\-yyyy"/>
    <numFmt numFmtId="165" formatCode="m-d-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3" t="s">
        <v>43</v>
      </c>
      <c r="C2" s="3" t="s">
        <v>44</v>
      </c>
      <c r="D2" s="4">
        <v>100000.0</v>
      </c>
      <c r="E2" s="5" t="s">
        <v>45</v>
      </c>
      <c r="F2" s="6" t="s">
        <v>46</v>
      </c>
      <c r="G2" s="6" t="s">
        <v>46</v>
      </c>
      <c r="H2" s="6" t="s">
        <v>46</v>
      </c>
      <c r="I2" s="6" t="s">
        <v>46</v>
      </c>
      <c r="J2" s="6" t="s">
        <v>46</v>
      </c>
      <c r="K2" s="6" t="s">
        <v>46</v>
      </c>
      <c r="L2" s="6" t="s">
        <v>47</v>
      </c>
      <c r="M2" s="6" t="s">
        <v>46</v>
      </c>
      <c r="N2" s="6" t="s">
        <v>46</v>
      </c>
      <c r="O2" s="6" t="s">
        <v>46</v>
      </c>
      <c r="P2" s="6" t="s">
        <v>46</v>
      </c>
      <c r="Q2" s="6" t="s">
        <v>46</v>
      </c>
      <c r="R2" s="6" t="s">
        <v>46</v>
      </c>
      <c r="S2" s="6" t="s">
        <v>46</v>
      </c>
      <c r="T2" s="6" t="s">
        <v>46</v>
      </c>
      <c r="U2" s="6" t="s">
        <v>46</v>
      </c>
      <c r="V2" s="6" t="s">
        <v>46</v>
      </c>
      <c r="W2" s="6" t="s">
        <v>46</v>
      </c>
      <c r="X2" s="6" t="s">
        <v>46</v>
      </c>
      <c r="Y2" s="6" t="s">
        <v>46</v>
      </c>
      <c r="Z2" s="6" t="s">
        <v>47</v>
      </c>
      <c r="AA2" s="6" t="s">
        <v>46</v>
      </c>
      <c r="AB2" s="6" t="s">
        <v>46</v>
      </c>
      <c r="AC2" s="6" t="s">
        <v>46</v>
      </c>
      <c r="AD2" s="6"/>
      <c r="AE2" s="6"/>
      <c r="AF2" s="6"/>
      <c r="AG2" s="6"/>
      <c r="AH2" s="6"/>
      <c r="AI2" s="6"/>
      <c r="AJ2" s="6"/>
      <c r="AK2" s="7">
        <f t="shared" ref="AK2:AK9" si="1">COUNTIF(F2:AJ2,"&lt;&gt;H")</f>
        <v>29</v>
      </c>
      <c r="AL2" s="7">
        <f t="shared" ref="AL2:AL9" si="2">COUNTIF(F2:AJ2,"P")</f>
        <v>22</v>
      </c>
      <c r="AM2" s="7">
        <f t="shared" ref="AM2:AM9" si="3">COUNTIF(F2:AJ2,"CL")</f>
        <v>0</v>
      </c>
      <c r="AN2" s="7">
        <f t="shared" ref="AN2:AN9" si="4">COUNTIF(F2:AJ2,"SL")</f>
        <v>0</v>
      </c>
      <c r="AO2" s="7">
        <f t="shared" ref="AO2:AO9" si="5">COUNTIF(F2:AJ2,"A")</f>
        <v>0</v>
      </c>
      <c r="AP2" s="8"/>
    </row>
    <row r="3">
      <c r="A3" s="3" t="s">
        <v>48</v>
      </c>
      <c r="B3" s="3" t="s">
        <v>49</v>
      </c>
      <c r="C3" s="3" t="s">
        <v>50</v>
      </c>
      <c r="D3" s="4">
        <v>15000.0</v>
      </c>
      <c r="E3" s="9">
        <v>45051.0</v>
      </c>
      <c r="F3" s="6" t="s">
        <v>51</v>
      </c>
      <c r="G3" s="6" t="s">
        <v>51</v>
      </c>
      <c r="H3" s="6" t="s">
        <v>46</v>
      </c>
      <c r="I3" s="6" t="s">
        <v>46</v>
      </c>
      <c r="J3" s="6" t="s">
        <v>46</v>
      </c>
      <c r="K3" s="6" t="s">
        <v>46</v>
      </c>
      <c r="L3" s="6" t="s">
        <v>47</v>
      </c>
      <c r="M3" s="6" t="s">
        <v>46</v>
      </c>
      <c r="N3" s="6" t="s">
        <v>46</v>
      </c>
      <c r="O3" s="6" t="s">
        <v>46</v>
      </c>
      <c r="P3" s="6" t="s">
        <v>46</v>
      </c>
      <c r="Q3" s="6" t="s">
        <v>46</v>
      </c>
      <c r="R3" s="6" t="s">
        <v>46</v>
      </c>
      <c r="S3" s="6" t="s">
        <v>46</v>
      </c>
      <c r="T3" s="6" t="s">
        <v>46</v>
      </c>
      <c r="U3" s="6" t="s">
        <v>46</v>
      </c>
      <c r="V3" s="6" t="s">
        <v>46</v>
      </c>
      <c r="W3" s="6" t="s">
        <v>46</v>
      </c>
      <c r="X3" s="6" t="s">
        <v>46</v>
      </c>
      <c r="Y3" s="6" t="s">
        <v>46</v>
      </c>
      <c r="Z3" s="6" t="s">
        <v>47</v>
      </c>
      <c r="AA3" s="6" t="s">
        <v>46</v>
      </c>
      <c r="AB3" s="6" t="s">
        <v>46</v>
      </c>
      <c r="AC3" s="6" t="s">
        <v>52</v>
      </c>
      <c r="AD3" s="6"/>
      <c r="AE3" s="6"/>
      <c r="AF3" s="6"/>
      <c r="AG3" s="6"/>
      <c r="AH3" s="6"/>
      <c r="AI3" s="6"/>
      <c r="AJ3" s="6"/>
      <c r="AK3" s="7">
        <f t="shared" si="1"/>
        <v>29</v>
      </c>
      <c r="AL3" s="7">
        <f t="shared" si="2"/>
        <v>19</v>
      </c>
      <c r="AM3" s="7">
        <f t="shared" si="3"/>
        <v>0</v>
      </c>
      <c r="AN3" s="7">
        <f t="shared" si="4"/>
        <v>0</v>
      </c>
      <c r="AO3" s="7">
        <f t="shared" si="5"/>
        <v>2</v>
      </c>
      <c r="AP3" s="10"/>
    </row>
    <row r="4">
      <c r="A4" s="3" t="s">
        <v>53</v>
      </c>
      <c r="B4" s="3" t="s">
        <v>54</v>
      </c>
      <c r="C4" s="11" t="s">
        <v>55</v>
      </c>
      <c r="D4" s="4">
        <v>30000.0</v>
      </c>
      <c r="E4" s="5" t="s">
        <v>56</v>
      </c>
      <c r="F4" s="6" t="s">
        <v>46</v>
      </c>
      <c r="G4" s="6" t="s">
        <v>46</v>
      </c>
      <c r="H4" s="6" t="s">
        <v>46</v>
      </c>
      <c r="I4" s="6" t="s">
        <v>46</v>
      </c>
      <c r="J4" s="6" t="s">
        <v>46</v>
      </c>
      <c r="K4" s="6" t="s">
        <v>46</v>
      </c>
      <c r="L4" s="6" t="s">
        <v>47</v>
      </c>
      <c r="M4" s="6" t="s">
        <v>46</v>
      </c>
      <c r="N4" s="6" t="s">
        <v>46</v>
      </c>
      <c r="O4" s="6" t="s">
        <v>46</v>
      </c>
      <c r="P4" s="6" t="s">
        <v>46</v>
      </c>
      <c r="Q4" s="6" t="s">
        <v>46</v>
      </c>
      <c r="R4" s="6" t="s">
        <v>46</v>
      </c>
      <c r="S4" s="6" t="s">
        <v>46</v>
      </c>
      <c r="T4" s="6" t="s">
        <v>46</v>
      </c>
      <c r="U4" s="6" t="s">
        <v>46</v>
      </c>
      <c r="V4" s="6" t="s">
        <v>46</v>
      </c>
      <c r="W4" s="6" t="s">
        <v>46</v>
      </c>
      <c r="X4" s="6" t="s">
        <v>46</v>
      </c>
      <c r="Y4" s="6" t="s">
        <v>46</v>
      </c>
      <c r="Z4" s="6" t="s">
        <v>47</v>
      </c>
      <c r="AA4" s="6" t="s">
        <v>57</v>
      </c>
      <c r="AB4" s="6" t="s">
        <v>38</v>
      </c>
      <c r="AC4" s="6" t="s">
        <v>46</v>
      </c>
      <c r="AD4" s="6"/>
      <c r="AE4" s="6"/>
      <c r="AF4" s="6"/>
      <c r="AG4" s="6"/>
      <c r="AH4" s="6"/>
      <c r="AI4" s="6"/>
      <c r="AJ4" s="6"/>
      <c r="AK4" s="7">
        <f t="shared" si="1"/>
        <v>29</v>
      </c>
      <c r="AL4" s="7">
        <f t="shared" si="2"/>
        <v>20</v>
      </c>
      <c r="AM4" s="7">
        <f t="shared" si="3"/>
        <v>1</v>
      </c>
      <c r="AN4" s="7">
        <f t="shared" si="4"/>
        <v>1</v>
      </c>
      <c r="AO4" s="7">
        <f t="shared" si="5"/>
        <v>0</v>
      </c>
      <c r="AP4" s="8"/>
    </row>
    <row r="5">
      <c r="A5" s="3" t="s">
        <v>58</v>
      </c>
      <c r="B5" s="3" t="s">
        <v>59</v>
      </c>
      <c r="C5" s="3" t="s">
        <v>60</v>
      </c>
      <c r="D5" s="4">
        <v>55000.0</v>
      </c>
      <c r="E5" s="9">
        <v>45658.0</v>
      </c>
      <c r="F5" s="6" t="s">
        <v>46</v>
      </c>
      <c r="G5" s="6" t="s">
        <v>46</v>
      </c>
      <c r="H5" s="6" t="s">
        <v>46</v>
      </c>
      <c r="I5" s="6" t="s">
        <v>46</v>
      </c>
      <c r="J5" s="6" t="s">
        <v>46</v>
      </c>
      <c r="K5" s="6" t="s">
        <v>46</v>
      </c>
      <c r="L5" s="6" t="s">
        <v>47</v>
      </c>
      <c r="M5" s="6" t="s">
        <v>46</v>
      </c>
      <c r="N5" s="6" t="s">
        <v>46</v>
      </c>
      <c r="O5" s="6" t="s">
        <v>46</v>
      </c>
      <c r="P5" s="6" t="s">
        <v>46</v>
      </c>
      <c r="Q5" s="6" t="s">
        <v>46</v>
      </c>
      <c r="R5" s="6" t="s">
        <v>46</v>
      </c>
      <c r="S5" s="6" t="s">
        <v>46</v>
      </c>
      <c r="T5" s="6" t="s">
        <v>46</v>
      </c>
      <c r="U5" s="6" t="s">
        <v>38</v>
      </c>
      <c r="V5" s="6" t="s">
        <v>46</v>
      </c>
      <c r="W5" s="6" t="s">
        <v>46</v>
      </c>
      <c r="X5" s="6" t="s">
        <v>46</v>
      </c>
      <c r="Y5" s="6" t="s">
        <v>46</v>
      </c>
      <c r="Z5" s="6" t="s">
        <v>47</v>
      </c>
      <c r="AA5" s="6" t="s">
        <v>46</v>
      </c>
      <c r="AB5" s="6" t="s">
        <v>46</v>
      </c>
      <c r="AC5" s="6" t="s">
        <v>46</v>
      </c>
      <c r="AD5" s="6"/>
      <c r="AE5" s="6"/>
      <c r="AF5" s="6"/>
      <c r="AG5" s="6"/>
      <c r="AH5" s="6"/>
      <c r="AI5" s="6"/>
      <c r="AJ5" s="6"/>
      <c r="AK5" s="7">
        <f t="shared" si="1"/>
        <v>29</v>
      </c>
      <c r="AL5" s="7">
        <f t="shared" si="2"/>
        <v>21</v>
      </c>
      <c r="AM5" s="7">
        <f t="shared" si="3"/>
        <v>1</v>
      </c>
      <c r="AN5" s="7">
        <f t="shared" si="4"/>
        <v>0</v>
      </c>
      <c r="AO5" s="7">
        <f t="shared" si="5"/>
        <v>0</v>
      </c>
      <c r="AP5" s="10"/>
    </row>
    <row r="6">
      <c r="A6" s="3" t="s">
        <v>61</v>
      </c>
      <c r="B6" s="3" t="s">
        <v>62</v>
      </c>
      <c r="C6" s="3" t="s">
        <v>63</v>
      </c>
      <c r="D6" s="4">
        <v>40000.0</v>
      </c>
      <c r="E6" s="9">
        <v>45994.0</v>
      </c>
      <c r="F6" s="6" t="s">
        <v>46</v>
      </c>
      <c r="G6" s="6" t="s">
        <v>46</v>
      </c>
      <c r="H6" s="6" t="s">
        <v>46</v>
      </c>
      <c r="I6" s="6" t="s">
        <v>46</v>
      </c>
      <c r="J6" s="6" t="s">
        <v>46</v>
      </c>
      <c r="K6" s="6" t="s">
        <v>46</v>
      </c>
      <c r="L6" s="6" t="s">
        <v>47</v>
      </c>
      <c r="M6" s="6" t="s">
        <v>46</v>
      </c>
      <c r="N6" s="6" t="s">
        <v>46</v>
      </c>
      <c r="O6" s="6" t="s">
        <v>46</v>
      </c>
      <c r="P6" s="6" t="s">
        <v>46</v>
      </c>
      <c r="Q6" s="6" t="s">
        <v>46</v>
      </c>
      <c r="R6" s="6" t="s">
        <v>46</v>
      </c>
      <c r="S6" s="6" t="s">
        <v>46</v>
      </c>
      <c r="T6" s="6" t="s">
        <v>46</v>
      </c>
      <c r="U6" s="6" t="s">
        <v>46</v>
      </c>
      <c r="V6" s="6" t="s">
        <v>46</v>
      </c>
      <c r="W6" s="6" t="s">
        <v>46</v>
      </c>
      <c r="X6" s="6" t="s">
        <v>46</v>
      </c>
      <c r="Y6" s="6" t="s">
        <v>46</v>
      </c>
      <c r="Z6" s="6" t="s">
        <v>47</v>
      </c>
      <c r="AA6" s="6" t="s">
        <v>46</v>
      </c>
      <c r="AB6" s="6" t="s">
        <v>46</v>
      </c>
      <c r="AC6" s="6" t="s">
        <v>46</v>
      </c>
      <c r="AD6" s="6"/>
      <c r="AE6" s="6"/>
      <c r="AF6" s="6"/>
      <c r="AG6" s="6"/>
      <c r="AH6" s="6"/>
      <c r="AI6" s="6"/>
      <c r="AJ6" s="6"/>
      <c r="AK6" s="7">
        <f t="shared" si="1"/>
        <v>29</v>
      </c>
      <c r="AL6" s="7">
        <f t="shared" si="2"/>
        <v>22</v>
      </c>
      <c r="AM6" s="7">
        <f t="shared" si="3"/>
        <v>0</v>
      </c>
      <c r="AN6" s="7">
        <f t="shared" si="4"/>
        <v>0</v>
      </c>
      <c r="AO6" s="7">
        <f t="shared" si="5"/>
        <v>0</v>
      </c>
      <c r="AP6" s="10"/>
    </row>
    <row r="7">
      <c r="A7" s="3" t="s">
        <v>64</v>
      </c>
      <c r="B7" s="3" t="s">
        <v>65</v>
      </c>
      <c r="C7" s="3" t="s">
        <v>66</v>
      </c>
      <c r="D7" s="4">
        <v>15000.0</v>
      </c>
      <c r="E7" s="9">
        <v>46000.0</v>
      </c>
      <c r="F7" s="6" t="s">
        <v>46</v>
      </c>
      <c r="G7" s="6" t="s">
        <v>46</v>
      </c>
      <c r="H7" s="6" t="s">
        <v>46</v>
      </c>
      <c r="I7" s="6" t="s">
        <v>46</v>
      </c>
      <c r="J7" s="6" t="s">
        <v>46</v>
      </c>
      <c r="K7" s="6" t="s">
        <v>46</v>
      </c>
      <c r="L7" s="6" t="s">
        <v>47</v>
      </c>
      <c r="M7" s="6" t="s">
        <v>46</v>
      </c>
      <c r="N7" s="6" t="s">
        <v>46</v>
      </c>
      <c r="O7" s="6" t="s">
        <v>46</v>
      </c>
      <c r="P7" s="6" t="s">
        <v>46</v>
      </c>
      <c r="Q7" s="6" t="s">
        <v>46</v>
      </c>
      <c r="R7" s="6" t="s">
        <v>46</v>
      </c>
      <c r="S7" s="6" t="s">
        <v>46</v>
      </c>
      <c r="T7" s="6" t="s">
        <v>46</v>
      </c>
      <c r="U7" s="6" t="s">
        <v>46</v>
      </c>
      <c r="V7" s="6" t="s">
        <v>46</v>
      </c>
      <c r="W7" s="6" t="s">
        <v>46</v>
      </c>
      <c r="X7" s="6" t="s">
        <v>46</v>
      </c>
      <c r="Y7" s="6" t="s">
        <v>46</v>
      </c>
      <c r="Z7" s="6" t="s">
        <v>47</v>
      </c>
      <c r="AA7" s="6" t="s">
        <v>46</v>
      </c>
      <c r="AB7" s="6" t="s">
        <v>46</v>
      </c>
      <c r="AC7" s="6" t="s">
        <v>46</v>
      </c>
      <c r="AD7" s="6"/>
      <c r="AE7" s="6"/>
      <c r="AF7" s="6"/>
      <c r="AG7" s="6"/>
      <c r="AH7" s="6"/>
      <c r="AI7" s="6"/>
      <c r="AJ7" s="6"/>
      <c r="AK7" s="7">
        <f t="shared" si="1"/>
        <v>29</v>
      </c>
      <c r="AL7" s="7">
        <f t="shared" si="2"/>
        <v>22</v>
      </c>
      <c r="AM7" s="7">
        <f t="shared" si="3"/>
        <v>0</v>
      </c>
      <c r="AN7" s="7">
        <f t="shared" si="4"/>
        <v>0</v>
      </c>
      <c r="AO7" s="7">
        <f t="shared" si="5"/>
        <v>0</v>
      </c>
      <c r="AP7" s="10"/>
    </row>
    <row r="8">
      <c r="A8" s="3" t="s">
        <v>67</v>
      </c>
      <c r="B8" s="3" t="s">
        <v>68</v>
      </c>
      <c r="C8" s="3" t="s">
        <v>69</v>
      </c>
      <c r="D8" s="4">
        <v>40000.0</v>
      </c>
      <c r="E8" s="9">
        <v>45818.0</v>
      </c>
      <c r="F8" s="6" t="s">
        <v>46</v>
      </c>
      <c r="G8" s="6" t="s">
        <v>46</v>
      </c>
      <c r="H8" s="6" t="s">
        <v>46</v>
      </c>
      <c r="I8" s="6" t="s">
        <v>46</v>
      </c>
      <c r="J8" s="6" t="s">
        <v>46</v>
      </c>
      <c r="K8" s="6" t="s">
        <v>46</v>
      </c>
      <c r="L8" s="6" t="s">
        <v>47</v>
      </c>
      <c r="M8" s="6" t="s">
        <v>46</v>
      </c>
      <c r="N8" s="6" t="s">
        <v>46</v>
      </c>
      <c r="O8" s="6" t="s">
        <v>46</v>
      </c>
      <c r="P8" s="6" t="s">
        <v>46</v>
      </c>
      <c r="Q8" s="6" t="s">
        <v>46</v>
      </c>
      <c r="R8" s="6" t="s">
        <v>46</v>
      </c>
      <c r="S8" s="6" t="s">
        <v>46</v>
      </c>
      <c r="T8" s="6" t="s">
        <v>46</v>
      </c>
      <c r="U8" s="6" t="s">
        <v>46</v>
      </c>
      <c r="V8" s="6" t="s">
        <v>46</v>
      </c>
      <c r="W8" s="6" t="s">
        <v>46</v>
      </c>
      <c r="X8" s="6" t="s">
        <v>46</v>
      </c>
      <c r="Y8" s="6" t="s">
        <v>57</v>
      </c>
      <c r="Z8" s="6" t="s">
        <v>47</v>
      </c>
      <c r="AA8" s="6" t="s">
        <v>46</v>
      </c>
      <c r="AB8" s="6" t="s">
        <v>46</v>
      </c>
      <c r="AC8" s="6" t="s">
        <v>46</v>
      </c>
      <c r="AD8" s="6"/>
      <c r="AE8" s="6"/>
      <c r="AF8" s="6"/>
      <c r="AG8" s="6"/>
      <c r="AH8" s="6"/>
      <c r="AI8" s="6"/>
      <c r="AJ8" s="6"/>
      <c r="AK8" s="7">
        <f t="shared" si="1"/>
        <v>29</v>
      </c>
      <c r="AL8" s="7">
        <f t="shared" si="2"/>
        <v>21</v>
      </c>
      <c r="AM8" s="7">
        <f t="shared" si="3"/>
        <v>0</v>
      </c>
      <c r="AN8" s="7">
        <f t="shared" si="4"/>
        <v>1</v>
      </c>
      <c r="AO8" s="7">
        <f t="shared" si="5"/>
        <v>0</v>
      </c>
      <c r="AP8" s="10"/>
    </row>
    <row r="9">
      <c r="A9" s="3" t="s">
        <v>70</v>
      </c>
      <c r="B9" s="3" t="s">
        <v>71</v>
      </c>
      <c r="C9" s="3" t="s">
        <v>72</v>
      </c>
      <c r="D9" s="4">
        <v>20000.0</v>
      </c>
      <c r="E9" s="12">
        <v>45881.0</v>
      </c>
      <c r="F9" s="6" t="s">
        <v>46</v>
      </c>
      <c r="G9" s="6" t="s">
        <v>46</v>
      </c>
      <c r="H9" s="6" t="s">
        <v>46</v>
      </c>
      <c r="I9" s="6" t="s">
        <v>46</v>
      </c>
      <c r="J9" s="6" t="s">
        <v>46</v>
      </c>
      <c r="K9" s="6" t="s">
        <v>46</v>
      </c>
      <c r="L9" s="6" t="s">
        <v>47</v>
      </c>
      <c r="M9" s="6" t="s">
        <v>46</v>
      </c>
      <c r="N9" s="6" t="s">
        <v>46</v>
      </c>
      <c r="O9" s="6" t="s">
        <v>46</v>
      </c>
      <c r="P9" s="6" t="s">
        <v>46</v>
      </c>
      <c r="Q9" s="6" t="s">
        <v>46</v>
      </c>
      <c r="R9" s="6" t="s">
        <v>46</v>
      </c>
      <c r="S9" s="6" t="s">
        <v>46</v>
      </c>
      <c r="T9" s="6" t="s">
        <v>51</v>
      </c>
      <c r="U9" s="6" t="s">
        <v>51</v>
      </c>
      <c r="V9" s="6" t="s">
        <v>51</v>
      </c>
      <c r="W9" s="6" t="s">
        <v>51</v>
      </c>
      <c r="X9" s="6" t="s">
        <v>51</v>
      </c>
      <c r="Y9" s="6" t="s">
        <v>51</v>
      </c>
      <c r="Z9" s="6" t="s">
        <v>47</v>
      </c>
      <c r="AA9" s="6" t="s">
        <v>51</v>
      </c>
      <c r="AB9" s="6" t="s">
        <v>51</v>
      </c>
      <c r="AC9" s="6" t="s">
        <v>51</v>
      </c>
      <c r="AD9" s="6"/>
      <c r="AE9" s="6"/>
      <c r="AF9" s="6"/>
      <c r="AG9" s="6"/>
      <c r="AH9" s="6"/>
      <c r="AI9" s="6"/>
      <c r="AJ9" s="6"/>
      <c r="AK9" s="7">
        <f t="shared" si="1"/>
        <v>29</v>
      </c>
      <c r="AL9" s="7">
        <f t="shared" si="2"/>
        <v>13</v>
      </c>
      <c r="AM9" s="7">
        <f t="shared" si="3"/>
        <v>0</v>
      </c>
      <c r="AN9" s="7">
        <f t="shared" si="4"/>
        <v>0</v>
      </c>
      <c r="AO9" s="7">
        <f t="shared" si="5"/>
        <v>9</v>
      </c>
      <c r="AP9" s="13"/>
    </row>
    <row r="10">
      <c r="A10" s="11" t="s">
        <v>73</v>
      </c>
      <c r="B10" s="3" t="s">
        <v>74</v>
      </c>
      <c r="C10" s="4" t="s">
        <v>75</v>
      </c>
      <c r="D10" s="4">
        <v>12000.0</v>
      </c>
      <c r="E10" s="4" t="s">
        <v>76</v>
      </c>
    </row>
    <row r="11">
      <c r="A11" s="11" t="s">
        <v>77</v>
      </c>
      <c r="B11" s="3" t="s">
        <v>78</v>
      </c>
      <c r="C11" s="4" t="s">
        <v>75</v>
      </c>
      <c r="D11" s="4">
        <v>12000.0</v>
      </c>
      <c r="E11" s="4" t="s">
        <v>76</v>
      </c>
    </row>
    <row r="12">
      <c r="A12" s="11" t="s">
        <v>79</v>
      </c>
      <c r="B12" s="3" t="s">
        <v>80</v>
      </c>
      <c r="C12" s="4" t="s">
        <v>75</v>
      </c>
      <c r="D12" s="4">
        <v>12000.0</v>
      </c>
      <c r="E12" s="4" t="s">
        <v>76</v>
      </c>
    </row>
    <row r="13">
      <c r="A13" s="11" t="s">
        <v>81</v>
      </c>
      <c r="B13" s="3" t="s">
        <v>82</v>
      </c>
      <c r="C13" s="4" t="s">
        <v>75</v>
      </c>
      <c r="D13" s="4">
        <v>12000.0</v>
      </c>
      <c r="E13" s="4" t="s">
        <v>76</v>
      </c>
    </row>
    <row r="14">
      <c r="A14" s="11" t="s">
        <v>83</v>
      </c>
      <c r="B14" s="3" t="s">
        <v>84</v>
      </c>
      <c r="C14" s="4" t="s">
        <v>75</v>
      </c>
      <c r="D14" s="4">
        <v>12000.0</v>
      </c>
      <c r="E14" s="4" t="s">
        <v>76</v>
      </c>
    </row>
  </sheetData>
  <dataValidations>
    <dataValidation type="list" allowBlank="1" sqref="F2:AJ9">
      <formula1>"P,A,H,CL,SL"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2" t="s">
        <v>0</v>
      </c>
      <c r="B1" s="2" t="s">
        <v>1</v>
      </c>
    </row>
    <row r="2">
      <c r="A2" s="3" t="s">
        <v>42</v>
      </c>
      <c r="B2" s="3" t="s">
        <v>74</v>
      </c>
    </row>
    <row r="3">
      <c r="A3" s="3" t="s">
        <v>48</v>
      </c>
      <c r="B3" s="3" t="s">
        <v>78</v>
      </c>
    </row>
    <row r="4">
      <c r="A4" s="3" t="s">
        <v>53</v>
      </c>
      <c r="B4" s="3" t="s">
        <v>80</v>
      </c>
    </row>
    <row r="5">
      <c r="A5" s="3" t="s">
        <v>58</v>
      </c>
      <c r="B5" s="3" t="s">
        <v>82</v>
      </c>
    </row>
    <row r="6">
      <c r="A6" s="3" t="s">
        <v>61</v>
      </c>
      <c r="B6" s="3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5.75"/>
    <col customWidth="1" min="4" max="4" width="23.38"/>
    <col customWidth="1" min="5" max="5" width="18.88"/>
    <col customWidth="1" min="6" max="6" width="21.38"/>
    <col customWidth="1" min="8" max="8" width="47.0"/>
  </cols>
  <sheetData>
    <row r="1">
      <c r="A1" s="14" t="s">
        <v>85</v>
      </c>
      <c r="B1" s="15"/>
      <c r="C1" s="15"/>
      <c r="D1" s="15"/>
      <c r="E1" s="15"/>
      <c r="F1" s="15"/>
      <c r="G1" s="15"/>
      <c r="H1" s="16"/>
    </row>
    <row r="2">
      <c r="A2" s="17" t="s">
        <v>86</v>
      </c>
      <c r="B2" s="17" t="s">
        <v>87</v>
      </c>
      <c r="C2" s="17" t="s">
        <v>88</v>
      </c>
      <c r="D2" s="17" t="s">
        <v>89</v>
      </c>
      <c r="E2" s="17" t="s">
        <v>90</v>
      </c>
      <c r="F2" s="17" t="s">
        <v>91</v>
      </c>
      <c r="G2" s="17" t="s">
        <v>92</v>
      </c>
      <c r="H2" s="17" t="s">
        <v>93</v>
      </c>
    </row>
    <row r="3">
      <c r="A3" s="18">
        <v>1.0</v>
      </c>
      <c r="B3" s="19" t="s">
        <v>94</v>
      </c>
      <c r="C3" s="20">
        <v>550.0</v>
      </c>
      <c r="D3" s="19"/>
      <c r="E3" s="6"/>
      <c r="F3" s="19"/>
      <c r="G3" s="18">
        <f t="shared" ref="G3:G18" si="1">SUM(C3:F3)</f>
        <v>550</v>
      </c>
      <c r="H3" s="19"/>
    </row>
    <row r="4">
      <c r="A4" s="18">
        <v>2.0</v>
      </c>
      <c r="B4" s="19" t="s">
        <v>95</v>
      </c>
      <c r="C4" s="19"/>
      <c r="D4" s="19"/>
      <c r="E4" s="19"/>
      <c r="F4" s="19"/>
      <c r="G4" s="18">
        <f t="shared" si="1"/>
        <v>0</v>
      </c>
      <c r="H4" s="19"/>
    </row>
    <row r="5">
      <c r="A5" s="18">
        <v>3.0</v>
      </c>
      <c r="B5" s="19" t="s">
        <v>96</v>
      </c>
      <c r="C5" s="19"/>
      <c r="D5" s="20">
        <v>520.0</v>
      </c>
      <c r="E5" s="19"/>
      <c r="F5" s="19"/>
      <c r="G5" s="18">
        <f t="shared" si="1"/>
        <v>520</v>
      </c>
      <c r="H5" s="19" t="s">
        <v>97</v>
      </c>
    </row>
    <row r="6">
      <c r="A6" s="18">
        <v>4.0</v>
      </c>
      <c r="B6" s="19" t="s">
        <v>98</v>
      </c>
      <c r="C6" s="19"/>
      <c r="D6" s="19"/>
      <c r="E6" s="19"/>
      <c r="F6" s="19"/>
      <c r="G6" s="18">
        <f t="shared" si="1"/>
        <v>0</v>
      </c>
      <c r="H6" s="19"/>
    </row>
    <row r="7">
      <c r="A7" s="18">
        <v>5.0</v>
      </c>
      <c r="B7" s="19" t="s">
        <v>99</v>
      </c>
      <c r="C7" s="19"/>
      <c r="D7" s="19"/>
      <c r="E7" s="19"/>
      <c r="F7" s="19"/>
      <c r="G7" s="18">
        <f t="shared" si="1"/>
        <v>0</v>
      </c>
      <c r="H7" s="19"/>
    </row>
    <row r="8">
      <c r="A8" s="18">
        <v>6.0</v>
      </c>
      <c r="B8" s="19" t="s">
        <v>100</v>
      </c>
      <c r="C8" s="19"/>
      <c r="D8" s="19"/>
      <c r="E8" s="19"/>
      <c r="F8" s="19"/>
      <c r="G8" s="18">
        <f t="shared" si="1"/>
        <v>0</v>
      </c>
      <c r="H8" s="19"/>
    </row>
    <row r="9">
      <c r="A9" s="18">
        <v>7.0</v>
      </c>
      <c r="B9" s="19" t="s">
        <v>101</v>
      </c>
      <c r="C9" s="19"/>
      <c r="D9" s="19"/>
      <c r="E9" s="19"/>
      <c r="F9" s="19"/>
      <c r="G9" s="18">
        <f t="shared" si="1"/>
        <v>0</v>
      </c>
      <c r="H9" s="19"/>
    </row>
    <row r="10">
      <c r="A10" s="18">
        <v>8.0</v>
      </c>
      <c r="B10" s="19" t="s">
        <v>102</v>
      </c>
      <c r="C10" s="20">
        <v>7000.0</v>
      </c>
      <c r="D10" s="19"/>
      <c r="E10" s="19"/>
      <c r="F10" s="19"/>
      <c r="G10" s="18">
        <f t="shared" si="1"/>
        <v>7000</v>
      </c>
      <c r="H10" s="19" t="s">
        <v>103</v>
      </c>
    </row>
    <row r="11">
      <c r="A11" s="18">
        <v>9.0</v>
      </c>
      <c r="B11" s="19" t="s">
        <v>104</v>
      </c>
      <c r="C11" s="19"/>
      <c r="D11" s="19"/>
      <c r="E11" s="19"/>
      <c r="F11" s="19"/>
      <c r="G11" s="18">
        <f t="shared" si="1"/>
        <v>0</v>
      </c>
      <c r="H11" s="19"/>
    </row>
    <row r="12">
      <c r="A12" s="18">
        <v>10.0</v>
      </c>
      <c r="B12" s="19" t="s">
        <v>105</v>
      </c>
      <c r="C12" s="19"/>
      <c r="D12" s="19"/>
      <c r="E12" s="19"/>
      <c r="F12" s="19"/>
      <c r="G12" s="18">
        <f t="shared" si="1"/>
        <v>0</v>
      </c>
      <c r="H12" s="19"/>
    </row>
    <row r="13">
      <c r="A13" s="18">
        <v>11.0</v>
      </c>
      <c r="B13" s="19" t="s">
        <v>106</v>
      </c>
      <c r="C13" s="19"/>
      <c r="D13" s="19"/>
      <c r="E13" s="19"/>
      <c r="F13" s="19"/>
      <c r="G13" s="18">
        <f t="shared" si="1"/>
        <v>0</v>
      </c>
      <c r="H13" s="19"/>
    </row>
    <row r="14">
      <c r="A14" s="18">
        <v>12.0</v>
      </c>
      <c r="B14" s="19" t="s">
        <v>107</v>
      </c>
      <c r="C14" s="19"/>
      <c r="D14" s="19"/>
      <c r="E14" s="20">
        <v>500.0</v>
      </c>
      <c r="F14" s="19"/>
      <c r="G14" s="18">
        <f t="shared" si="1"/>
        <v>500</v>
      </c>
      <c r="H14" s="19" t="s">
        <v>108</v>
      </c>
    </row>
    <row r="15">
      <c r="A15" s="18">
        <v>13.0</v>
      </c>
      <c r="B15" s="19" t="s">
        <v>109</v>
      </c>
      <c r="C15" s="19"/>
      <c r="D15" s="20">
        <v>0.0</v>
      </c>
      <c r="E15" s="19"/>
      <c r="F15" s="19"/>
      <c r="G15" s="18">
        <f t="shared" si="1"/>
        <v>0</v>
      </c>
      <c r="H15" s="19"/>
    </row>
    <row r="16">
      <c r="A16" s="18">
        <v>14.0</v>
      </c>
      <c r="B16" s="19" t="s">
        <v>110</v>
      </c>
      <c r="C16" s="19"/>
      <c r="D16" s="19"/>
      <c r="E16" s="19"/>
      <c r="F16" s="19"/>
      <c r="G16" s="18">
        <f t="shared" si="1"/>
        <v>0</v>
      </c>
      <c r="H16" s="19"/>
    </row>
    <row r="17">
      <c r="A17" s="18">
        <v>15.0</v>
      </c>
      <c r="B17" s="19" t="s">
        <v>111</v>
      </c>
      <c r="C17" s="19"/>
      <c r="D17" s="19"/>
      <c r="E17" s="19"/>
      <c r="F17" s="19"/>
      <c r="G17" s="18">
        <f t="shared" si="1"/>
        <v>0</v>
      </c>
      <c r="H17" s="19"/>
    </row>
    <row r="18">
      <c r="A18" s="18">
        <v>16.0</v>
      </c>
      <c r="B18" s="19" t="s">
        <v>112</v>
      </c>
      <c r="C18" s="19"/>
      <c r="D18" s="19"/>
      <c r="E18" s="19"/>
      <c r="F18" s="19"/>
      <c r="G18" s="18">
        <f t="shared" si="1"/>
        <v>0</v>
      </c>
      <c r="H18" s="19"/>
    </row>
    <row r="19">
      <c r="A19" s="18">
        <v>17.0</v>
      </c>
      <c r="B19" s="19" t="s">
        <v>113</v>
      </c>
      <c r="C19" s="19"/>
      <c r="D19" s="19"/>
      <c r="E19" s="19"/>
      <c r="F19" s="19"/>
      <c r="G19" s="19"/>
      <c r="H19" s="19"/>
    </row>
    <row r="20">
      <c r="A20" s="19"/>
      <c r="B20" s="19"/>
      <c r="C20" s="19"/>
      <c r="D20" s="19"/>
      <c r="E20" s="19"/>
      <c r="F20" s="19"/>
      <c r="G20" s="19"/>
      <c r="H20" s="19"/>
    </row>
    <row r="21">
      <c r="A21" s="19"/>
      <c r="B21" s="19"/>
      <c r="C21" s="19"/>
      <c r="D21" s="19"/>
      <c r="E21" s="19"/>
      <c r="F21" s="19"/>
      <c r="G21" s="19"/>
      <c r="H21" s="19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7">
        <v>10520.0</v>
      </c>
      <c r="G23" s="7">
        <f>SUM(G3:G20)</f>
        <v>8570</v>
      </c>
      <c r="H23" s="7">
        <f>SUM(F23:G23)</f>
        <v>19090</v>
      </c>
    </row>
    <row r="24">
      <c r="A24" s="6"/>
      <c r="B24" s="6"/>
      <c r="C24" s="6"/>
      <c r="D24" s="6"/>
      <c r="E24" s="6"/>
      <c r="F24" s="6"/>
      <c r="G24" s="6"/>
      <c r="H24" s="6"/>
    </row>
  </sheetData>
  <mergeCells count="1">
    <mergeCell ref="A1:H1"/>
  </mergeCells>
  <drawing r:id="rId1"/>
</worksheet>
</file>